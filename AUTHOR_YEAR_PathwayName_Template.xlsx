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lurin\Desktop\EAWAG\"/>
    </mc:Choice>
  </mc:AlternateContent>
  <xr:revisionPtr revIDLastSave="0" documentId="13_ncr:1_{DC7699D6-3C5D-4D16-8369-B999D74BD4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scription" sheetId="1" r:id="rId1"/>
    <sheet name="Compounds" sheetId="2" r:id="rId2"/>
    <sheet name="Connectivity" sheetId="3" r:id="rId3"/>
    <sheet name="Scenario_Sludge" sheetId="4" r:id="rId4"/>
    <sheet name="Scenario_Soil" sheetId="5" r:id="rId5"/>
    <sheet name="Scenario_Water-Sediment" sheetId="6" r:id="rId6"/>
    <sheet name="Scenario_General" sheetId="7" r:id="rId7"/>
    <sheet name="Kinetics_Confidence" sheetId="8" r:id="rId8"/>
  </sheets>
  <externalReferences>
    <externalReference r:id="rId9"/>
  </externalReferences>
  <definedNames>
    <definedName name="AcidityWaterSediment">#REF!</definedName>
    <definedName name="AcidityWaterSediment_range">#REF!</definedName>
    <definedName name="Biological_Treatment_Technology">#REF!</definedName>
    <definedName name="BiologicalTreatmentTechnology">#REF!</definedName>
    <definedName name="BiomassWaterSediment">#REF!</definedName>
    <definedName name="ColumnHeight">#REF!</definedName>
    <definedName name="Dissolvedoxygenconcentration">#REF!</definedName>
    <definedName name="InitialMassSediment">#REF!</definedName>
    <definedName name="Lifestage">'[1]Pick Lists'!#REF!</definedName>
    <definedName name="Method">'[1]Pick Lists'!#REF!</definedName>
    <definedName name="NitrogenContent">#REF!</definedName>
    <definedName name="OxygenDemand">#REF!</definedName>
    <definedName name="OxygenDemand_BOD5">#REF!</definedName>
    <definedName name="OxygenDemand_COD">#REF!</definedName>
    <definedName name="Oxygenuptakerate_OUR">#REF!</definedName>
    <definedName name="Parameter_definedtext">#REF!</definedName>
    <definedName name="Parameter_definedtext_Sludge">#REF!</definedName>
    <definedName name="Parameter_definedtext_Soil">#REF!</definedName>
    <definedName name="Parameter_definedtext_WS">#REF!</definedName>
    <definedName name="Parameter_freetext">#REF!</definedName>
    <definedName name="Parameter_freetext_Sludge">#REF!</definedName>
    <definedName name="Parameter_freetext_Soil">#REF!</definedName>
    <definedName name="Parameter_freetext_WS">#REF!</definedName>
    <definedName name="Parameter_numerical">#REF!</definedName>
    <definedName name="Parameter_numerical_Sludge">#REF!</definedName>
    <definedName name="Parameter_numerical_Soil">#REF!</definedName>
    <definedName name="Parameter_numerical_WS">#REF!</definedName>
    <definedName name="Parameter_numtype">#REF!</definedName>
    <definedName name="Parameter_numtype_Sludge">#REF!</definedName>
    <definedName name="Parameter_numtype_Soil">#REF!</definedName>
    <definedName name="Parameter_numtype_WS">#REF!</definedName>
    <definedName name="ParametersMeasured">#REF!</definedName>
    <definedName name="pH">#REF!</definedName>
    <definedName name="pH_range">#REF!</definedName>
    <definedName name="PhosphorusContent">#REF!</definedName>
    <definedName name="PurposeofWWTP">#REF!</definedName>
    <definedName name="Redoxcondition">#REF!</definedName>
    <definedName name="RedoxPotential">#REF!</definedName>
    <definedName name="Reliability">'[1]Pick Lists'!$D$1:$D$6</definedName>
    <definedName name="Route">'[1]Pick Lists'!#REF!</definedName>
    <definedName name="SamplingDepth">#REF!</definedName>
    <definedName name="Sludgeretentiontime">#REF!</definedName>
    <definedName name="SoilClassificationSystem">#REF!</definedName>
    <definedName name="SoilTexture1">#REF!</definedName>
    <definedName name="SoilTexture2">#REF!</definedName>
    <definedName name="Solventforcompoundaddition">#REF!</definedName>
    <definedName name="Species" localSheetId="6">'[1]Pick Lists'!#REF!</definedName>
    <definedName name="Species">'[1]Pick Lists'!#REF!</definedName>
    <definedName name="Temp" localSheetId="6">'[1]Pick Lists'!#REF!</definedName>
    <definedName name="Temp">'[1]Pick Lists'!#REF!</definedName>
    <definedName name="Type">#REF!</definedName>
    <definedName name="Typeofaeration">#REF!</definedName>
    <definedName name="Typeofcompoundaddi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3" i="6"/>
  <c r="B3" i="5"/>
  <c r="B3" i="4"/>
  <c r="E73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2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" i="8"/>
  <c r="B2" i="7"/>
  <c r="B2" i="6"/>
  <c r="B2" i="5"/>
  <c r="B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2" i="3"/>
</calcChain>
</file>

<file path=xl/sharedStrings.xml><?xml version="1.0" encoding="utf-8"?>
<sst xmlns="http://schemas.openxmlformats.org/spreadsheetml/2006/main" count="801" uniqueCount="170">
  <si>
    <t>Information</t>
  </si>
  <si>
    <t>Entry</t>
  </si>
  <si>
    <t>Paper Title</t>
  </si>
  <si>
    <t>DOI</t>
  </si>
  <si>
    <t>Scenario Environment</t>
  </si>
  <si>
    <t>General</t>
  </si>
  <si>
    <t>Your Name</t>
  </si>
  <si>
    <t>Email Address</t>
  </si>
  <si>
    <t>University/Company</t>
  </si>
  <si>
    <t>Type</t>
  </si>
  <si>
    <t>Name</t>
  </si>
  <si>
    <t>SMILES</t>
  </si>
  <si>
    <t>Alternative structure 1</t>
  </si>
  <si>
    <t>Alternative structure 2</t>
  </si>
  <si>
    <t>Alternative structure 3</t>
  </si>
  <si>
    <t>Parent</t>
  </si>
  <si>
    <t>TP</t>
  </si>
  <si>
    <t>Reactant</t>
  </si>
  <si>
    <t>Reactant_SMILES</t>
  </si>
  <si>
    <t>Product 1</t>
  </si>
  <si>
    <t>Product 2</t>
  </si>
  <si>
    <t>Multistep</t>
  </si>
  <si>
    <t>Comment</t>
  </si>
  <si>
    <t>Scenario Information</t>
  </si>
  <si>
    <t>Scenario for Sludge Experiments</t>
  </si>
  <si>
    <t>Parameter</t>
  </si>
  <si>
    <t>Value</t>
  </si>
  <si>
    <t>Unit</t>
  </si>
  <si>
    <t>Range Type</t>
  </si>
  <si>
    <t>Sludge Source</t>
  </si>
  <si>
    <t>Location</t>
  </si>
  <si>
    <t>Description</t>
  </si>
  <si>
    <t>Purpose of WWTP</t>
  </si>
  <si>
    <t>Biological treatment technology</t>
  </si>
  <si>
    <t>Inoculum Source</t>
  </si>
  <si>
    <t>Sludge retention time</t>
  </si>
  <si>
    <t>d</t>
  </si>
  <si>
    <t>Experimental Conditions</t>
  </si>
  <si>
    <t>Bioreactor</t>
  </si>
  <si>
    <t>mL</t>
  </si>
  <si>
    <t>Initial amount of sludge in bioreactor</t>
  </si>
  <si>
    <t>Addition of nutrients</t>
  </si>
  <si>
    <t>Organic content</t>
  </si>
  <si>
    <t>Organic Matter (OM)</t>
  </si>
  <si>
    <t>%</t>
  </si>
  <si>
    <t>low</t>
  </si>
  <si>
    <t>high</t>
  </si>
  <si>
    <t>Organic Carbon (OC)</t>
  </si>
  <si>
    <t>Cation exchange capacity, CEC</t>
  </si>
  <si>
    <t>mEq/100g</t>
  </si>
  <si>
    <t>Total suspended solids concentration (TSS)</t>
  </si>
  <si>
    <t>g/L</t>
  </si>
  <si>
    <t>Start</t>
  </si>
  <si>
    <t>End</t>
  </si>
  <si>
    <t>Volatile suspended solids concentration (VSS)</t>
  </si>
  <si>
    <t>Redox condition</t>
  </si>
  <si>
    <t>Type of Aeration</t>
  </si>
  <si>
    <t>Temperature</t>
  </si>
  <si>
    <t>°C</t>
  </si>
  <si>
    <t>min</t>
  </si>
  <si>
    <t>max</t>
  </si>
  <si>
    <t>pH</t>
  </si>
  <si>
    <t>NA</t>
  </si>
  <si>
    <t>Oxygen Demand</t>
  </si>
  <si>
    <t>mg/L</t>
  </si>
  <si>
    <t>Influent</t>
  </si>
  <si>
    <t>Effluent</t>
  </si>
  <si>
    <t>Nitrogen Content</t>
  </si>
  <si>
    <t>Phosphorous Content</t>
  </si>
  <si>
    <t>Source of liquid matrix</t>
  </si>
  <si>
    <t>Total organic carbon (TOC)</t>
  </si>
  <si>
    <t>mg C/L</t>
  </si>
  <si>
    <t>Dissolved organic carbon (DOC)</t>
  </si>
  <si>
    <t>Dissolved oxygen concentration</t>
  </si>
  <si>
    <t>Additional Parameters Measured</t>
  </si>
  <si>
    <t>Compound Addition</t>
  </si>
  <si>
    <t>Final compound concentration</t>
  </si>
  <si>
    <t>µg/L</t>
  </si>
  <si>
    <t>Type of compound addition</t>
  </si>
  <si>
    <t>Solvent for compound addition</t>
  </si>
  <si>
    <t>first</t>
  </si>
  <si>
    <t>second</t>
  </si>
  <si>
    <t>third</t>
  </si>
  <si>
    <t>Miscellaneous</t>
  </si>
  <si>
    <t>Enzyme</t>
  </si>
  <si>
    <t>EC Number</t>
  </si>
  <si>
    <t>Reference</t>
  </si>
  <si>
    <t>Initiating organism</t>
  </si>
  <si>
    <t>Oxygen uptake rate (OUR)</t>
  </si>
  <si>
    <t>mg/L-h</t>
  </si>
  <si>
    <t>Ammonia uptake rate (AUR)</t>
  </si>
  <si>
    <t>Environment</t>
  </si>
  <si>
    <t>Sludge</t>
  </si>
  <si>
    <t>Scenario for Soil Experiments</t>
  </si>
  <si>
    <t>Soil source and properties</t>
  </si>
  <si>
    <t>Soil origin</t>
  </si>
  <si>
    <t>Soil texture</t>
  </si>
  <si>
    <t>Soil texture (%)</t>
  </si>
  <si>
    <t>sand</t>
  </si>
  <si>
    <t>silt</t>
  </si>
  <si>
    <t>clay</t>
  </si>
  <si>
    <t>Soil texture classification system</t>
  </si>
  <si>
    <t>Experimental conditions</t>
  </si>
  <si>
    <t>Experimental humidity</t>
  </si>
  <si>
    <t>Conditions</t>
  </si>
  <si>
    <t>Water storage capacity</t>
  </si>
  <si>
    <t>g water/100g dry soil</t>
  </si>
  <si>
    <t>Bulk density</t>
  </si>
  <si>
    <t>g/cm3</t>
  </si>
  <si>
    <t>Microbial biomass</t>
  </si>
  <si>
    <t>µg C/g soil</t>
  </si>
  <si>
    <t>Spike compound</t>
  </si>
  <si>
    <t>Spike compound structure</t>
  </si>
  <si>
    <t>Spike concentration</t>
  </si>
  <si>
    <t>Soil</t>
  </si>
  <si>
    <t>Scenario for Water-Sediment Systems</t>
  </si>
  <si>
    <t>Sediment/water source and properties</t>
  </si>
  <si>
    <t>Sample location</t>
  </si>
  <si>
    <t>Sampling depth</t>
  </si>
  <si>
    <t>cm</t>
  </si>
  <si>
    <t>Sediment porosity</t>
  </si>
  <si>
    <t>Column height</t>
  </si>
  <si>
    <t>sediment</t>
  </si>
  <si>
    <t>water</t>
  </si>
  <si>
    <t>Oxygen content</t>
  </si>
  <si>
    <t>Redox potential</t>
  </si>
  <si>
    <t>mV</t>
  </si>
  <si>
    <t>pH in sediment</t>
  </si>
  <si>
    <t>pH in water</t>
  </si>
  <si>
    <t>Microbial biomass in water</t>
  </si>
  <si>
    <t>cells/mL</t>
  </si>
  <si>
    <t>Microbial biomass in sediment</t>
  </si>
  <si>
    <t>cells/g sediment</t>
  </si>
  <si>
    <t>mg C/g sediment</t>
  </si>
  <si>
    <t>Organic content in sediment</t>
  </si>
  <si>
    <t>Organic carbon in water layer</t>
  </si>
  <si>
    <t>Total Organic Carbon (TOC)</t>
  </si>
  <si>
    <t>Dissolved Organic Carbon (DOC)</t>
  </si>
  <si>
    <t>Initial mass of sediment</t>
  </si>
  <si>
    <t>Dry</t>
  </si>
  <si>
    <t>g</t>
  </si>
  <si>
    <t>Wet</t>
  </si>
  <si>
    <t>Initial volume of water</t>
  </si>
  <si>
    <t>Sediment</t>
  </si>
  <si>
    <t>DRY</t>
  </si>
  <si>
    <t>WET</t>
  </si>
  <si>
    <t>Phosphorus Content</t>
  </si>
  <si>
    <t>Not specified</t>
  </si>
  <si>
    <t>Scenario</t>
  </si>
  <si>
    <t>Compound</t>
  </si>
  <si>
    <t>Model</t>
  </si>
  <si>
    <t>Value Unit</t>
  </si>
  <si>
    <t>Corrected</t>
  </si>
  <si>
    <t>R2</t>
  </si>
  <si>
    <t>Confidence Level_PFAS</t>
  </si>
  <si>
    <t>Confidence Level_Schy</t>
  </si>
  <si>
    <t>Proposed Intermediate?</t>
  </si>
  <si>
    <t>Key</t>
  </si>
  <si>
    <t>Product_1_SMILES</t>
  </si>
  <si>
    <t>Product_2_SMILES</t>
  </si>
  <si>
    <t>Transformation_Description</t>
  </si>
  <si>
    <t>Description (will be uploaded)</t>
  </si>
  <si>
    <t>Study reliability</t>
  </si>
  <si>
    <t>Comment (not uploaded)</t>
  </si>
  <si>
    <t>Non-extractable (bound residues) at test end [%]</t>
  </si>
  <si>
    <t>Major Product?</t>
  </si>
  <si>
    <t>your institution</t>
  </si>
  <si>
    <t>e.g. Geng &amp; Helbling, 2026</t>
  </si>
  <si>
    <t>Petra Muster</t>
  </si>
  <si>
    <t>p.muster@eawag.ch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</si>
</sst>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indexed="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DDEBF7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</cellStyleXfs>
  <cellXfs count="64">
    <xf numFmtId="0" fontId="0" fillId="0" borderId="0" xfId="0"/>
    <xf numFmtId="0" fontId="3" fillId="2" borderId="0" xfId="0" applyFont="1" applyFill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3" fillId="2" borderId="3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0" fillId="0" borderId="8" xfId="0" applyBorder="1"/>
    <xf numFmtId="0" fontId="0" fillId="0" borderId="0" xfId="0" applyAlignment="1">
      <alignment wrapText="1"/>
    </xf>
    <xf numFmtId="2" fontId="4" fillId="0" borderId="0" xfId="2" applyNumberFormat="1" applyFont="1" applyAlignment="1">
      <alignment horizontal="left" vertical="top"/>
    </xf>
    <xf numFmtId="2" fontId="4" fillId="0" borderId="0" xfId="2" applyNumberFormat="1" applyFont="1" applyAlignment="1">
      <alignment horizontal="left" vertical="top" wrapText="1"/>
    </xf>
    <xf numFmtId="0" fontId="0" fillId="5" borderId="0" xfId="0" applyFill="1"/>
    <xf numFmtId="2" fontId="4" fillId="5" borderId="0" xfId="2" applyNumberFormat="1" applyFont="1" applyFill="1" applyAlignment="1">
      <alignment horizontal="left" vertical="top"/>
    </xf>
    <xf numFmtId="0" fontId="3" fillId="2" borderId="9" xfId="0" applyFont="1" applyFill="1" applyBorder="1"/>
    <xf numFmtId="0" fontId="0" fillId="0" borderId="9" xfId="0" applyBorder="1"/>
    <xf numFmtId="0" fontId="0" fillId="0" borderId="10" xfId="0" applyBorder="1"/>
    <xf numFmtId="0" fontId="0" fillId="6" borderId="8" xfId="0" applyFill="1" applyBorder="1"/>
    <xf numFmtId="0" fontId="4" fillId="7" borderId="0" xfId="2" applyFont="1" applyFill="1" applyAlignment="1">
      <alignment horizontal="left" vertical="top"/>
    </xf>
    <xf numFmtId="0" fontId="0" fillId="6" borderId="11" xfId="0" applyFill="1" applyBorder="1"/>
    <xf numFmtId="0" fontId="0" fillId="0" borderId="11" xfId="0" applyBorder="1"/>
    <xf numFmtId="0" fontId="0" fillId="0" borderId="12" xfId="0" applyBorder="1"/>
    <xf numFmtId="0" fontId="0" fillId="6" borderId="0" xfId="0" applyFill="1"/>
    <xf numFmtId="0" fontId="0" fillId="4" borderId="0" xfId="0" applyFill="1"/>
    <xf numFmtId="0" fontId="0" fillId="6" borderId="3" xfId="0" applyFill="1" applyBorder="1"/>
    <xf numFmtId="0" fontId="0" fillId="0" borderId="3" xfId="0" applyBorder="1"/>
    <xf numFmtId="0" fontId="0" fillId="7" borderId="0" xfId="0" applyFill="1"/>
    <xf numFmtId="0" fontId="0" fillId="8" borderId="0" xfId="0" applyFill="1"/>
    <xf numFmtId="0" fontId="0" fillId="7" borderId="8" xfId="0" applyFill="1" applyBorder="1"/>
    <xf numFmtId="0" fontId="0" fillId="0" borderId="6" xfId="0" applyBorder="1"/>
    <xf numFmtId="0" fontId="0" fillId="6" borderId="7" xfId="0" applyFill="1" applyBorder="1"/>
    <xf numFmtId="0" fontId="0" fillId="4" borderId="7" xfId="0" applyFill="1" applyBorder="1"/>
    <xf numFmtId="0" fontId="0" fillId="6" borderId="5" xfId="0" applyFill="1" applyBorder="1"/>
    <xf numFmtId="0" fontId="0" fillId="0" borderId="5" xfId="0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0" fillId="0" borderId="13" xfId="0" applyBorder="1"/>
    <xf numFmtId="0" fontId="0" fillId="4" borderId="8" xfId="0" applyFill="1" applyBorder="1"/>
    <xf numFmtId="0" fontId="6" fillId="0" borderId="0" xfId="0" applyFont="1"/>
    <xf numFmtId="0" fontId="0" fillId="4" borderId="3" xfId="0" applyFill="1" applyBorder="1"/>
    <xf numFmtId="0" fontId="0" fillId="7" borderId="7" xfId="0" applyFill="1" applyBorder="1"/>
    <xf numFmtId="0" fontId="0" fillId="0" borderId="7" xfId="0" applyBorder="1"/>
    <xf numFmtId="0" fontId="3" fillId="2" borderId="10" xfId="0" applyFont="1" applyFill="1" applyBorder="1"/>
    <xf numFmtId="0" fontId="3" fillId="2" borderId="8" xfId="0" applyFont="1" applyFill="1" applyBorder="1"/>
    <xf numFmtId="0" fontId="3" fillId="2" borderId="11" xfId="0" applyFont="1" applyFill="1" applyBorder="1"/>
    <xf numFmtId="0" fontId="0" fillId="7" borderId="0" xfId="0" applyFill="1" applyAlignment="1">
      <alignment vertical="center"/>
    </xf>
    <xf numFmtId="0" fontId="0" fillId="7" borderId="0" xfId="0" applyFill="1" applyAlignment="1">
      <alignment wrapText="1"/>
    </xf>
    <xf numFmtId="0" fontId="0" fillId="5" borderId="0" xfId="0" applyFill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4" fillId="0" borderId="1" xfId="0" applyFont="1" applyBorder="1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3" xfId="3" applyBorder="1" applyAlignment="1">
      <alignment vertical="center"/>
    </xf>
  </cellXfs>
  <cellStyles count="4">
    <cellStyle name="Excel Built-in Normal" xfId="1" xr:uid="{00000000-0005-0000-0000-000000000000}"/>
    <cellStyle name="Hyperlink" xfId="3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514774</xdr:colOff>
      <xdr:row>1</xdr:row>
      <xdr:rowOff>704618</xdr:rowOff>
    </xdr:from>
    <xdr:to>
      <xdr:col>21</xdr:col>
      <xdr:colOff>407746</xdr:colOff>
      <xdr:row>8</xdr:row>
      <xdr:rowOff>161924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 bwMode="auto">
        <a:xfrm>
          <a:off x="11050001" y="887421"/>
          <a:ext cx="4742063" cy="1275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1200" b="1"/>
            <a:t>Please include a short description of the study used to generate the information in this excel workbook (will not be uploaded).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>
              <a:solidFill>
                <a:schemeClr val="dk1"/>
              </a:solidFill>
              <a:latin typeface="Calibri"/>
              <a:ea typeface="Arial"/>
              <a:cs typeface="Arial"/>
            </a:rPr>
            <a:t>Data here are from the paper "" ()</a:t>
          </a:r>
          <a:endParaRPr/>
        </a:p>
        <a:p>
          <a:pPr>
            <a:defRPr/>
          </a:pPr>
          <a:endParaRPr lang="en-US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11</xdr:col>
      <xdr:colOff>32387</xdr:colOff>
      <xdr:row>33</xdr:row>
      <xdr:rowOff>171023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 bwMode="auto">
        <a:xfrm>
          <a:off x="4400550" y="180975"/>
          <a:ext cx="4909187" cy="6505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1800" b="1" u="sng"/>
            <a:t>enviPath Pathway Upload Template</a:t>
          </a:r>
          <a:endParaRPr/>
        </a:p>
        <a:p>
          <a:pPr>
            <a:defRPr/>
          </a:pPr>
          <a:r>
            <a:rPr lang="en-US" sz="1100" b="0" u="none"/>
            <a:t>This workbook is designed to simplify the upload of biotransformation pathways into the enviPath database and pathway predition system (https://envipath.org/).</a:t>
          </a:r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There are four main types of tabs (</a:t>
          </a:r>
          <a:r>
            <a:rPr lang="en-US" sz="1100" b="1" i="0" u="none" strike="noStrike" cap="none" spc="0">
              <a:ln>
                <a:noFill/>
              </a:ln>
              <a:solidFill>
                <a:srgbClr val="C00000"/>
              </a:solidFill>
              <a:latin typeface="Calibri"/>
              <a:ea typeface="Arial"/>
              <a:cs typeface="Arial"/>
            </a:rPr>
            <a:t>colored red </a:t>
          </a:r>
          <a:r>
            <a:rPr lang="en-US" sz="1100" b="1" i="0" u="none" strike="noStrike" cap="none" spc="0">
              <a:ln>
                <a:noFill/>
              </a:ln>
              <a:solidFill>
                <a:srgbClr val="FF9900"/>
              </a:solidFill>
              <a:latin typeface="Calibri"/>
              <a:ea typeface="Arial"/>
              <a:cs typeface="Arial"/>
            </a:rPr>
            <a:t>and orange</a:t>
          </a:r>
          <a:r>
            <a:rPr lang="en-US" sz="1100"/>
            <a:t>) in this workbook that should be filled out with an observed biotransformation pathway for one compound in one published study: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First, fill out the information in the </a:t>
          </a:r>
          <a:r>
            <a:rPr lang="en-US" sz="1100" b="1"/>
            <a:t>yellow highlighted table </a:t>
          </a:r>
          <a:r>
            <a:rPr lang="en-US" sz="1100"/>
            <a:t>in top left-hand corner. Next, fill out the tabs according to the description below: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Tab 1) </a:t>
          </a:r>
          <a:r>
            <a:rPr lang="en-US" sz="1100" b="1">
              <a:solidFill>
                <a:srgbClr val="C00000"/>
              </a:solidFill>
            </a:rPr>
            <a:t>Compounds</a:t>
          </a:r>
          <a:r>
            <a:rPr lang="en-US" sz="1100"/>
            <a:t>: fill out this tab with compound types (parent or TP), names, and SMILES.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Tab 2) </a:t>
          </a:r>
          <a:r>
            <a:rPr lang="en-US" sz="1100" b="1">
              <a:solidFill>
                <a:srgbClr val="C00000"/>
              </a:solidFill>
            </a:rPr>
            <a:t>Connectivity</a:t>
          </a:r>
          <a:r>
            <a:rPr lang="en-US" sz="1100"/>
            <a:t>: This tab defines observed biotransformation reactions from reactant to product using SMILES.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Tabs 3-6) </a:t>
          </a:r>
          <a:r>
            <a:rPr lang="en-US" sz="1100" b="1">
              <a:solidFill>
                <a:srgbClr val="FF9900"/>
              </a:solidFill>
            </a:rPr>
            <a:t>Scenarios</a:t>
          </a:r>
          <a:r>
            <a:rPr lang="en-US" sz="1100"/>
            <a:t>: These tab contain information about the environmental conditions at which the biotransformations were measured/observed. Pick the scenario type that best fits the environmental conditions in your paper, and designate this in the yellow highligted table in the top left-hand corner of this sheet.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Tab 7) </a:t>
          </a:r>
          <a:r>
            <a:rPr lang="en-US" sz="1100" b="1">
              <a:solidFill>
                <a:srgbClr val="C00000"/>
              </a:solidFill>
              <a:latin typeface="Calibri"/>
              <a:ea typeface="Arial"/>
              <a:cs typeface="Arial"/>
            </a:rPr>
            <a:t>Kinetics_Confidence</a:t>
          </a:r>
          <a:r>
            <a:rPr lang="en-US" sz="1100">
              <a:solidFill>
                <a:schemeClr val="dk1"/>
              </a:solidFill>
              <a:latin typeface="Calibri"/>
              <a:ea typeface="Arial"/>
              <a:cs typeface="Arial"/>
            </a:rPr>
            <a:t>: Biotransformation rate constants, half-lives, confidence levels, and proposed intermediates can be reported/designated here.</a:t>
          </a:r>
          <a:endParaRPr lang="en-US"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 b="1"/>
            <a:t>Additional tips for filling out this template</a:t>
          </a:r>
          <a:r>
            <a:rPr lang="en-US" sz="1100"/>
            <a:t>:</a:t>
          </a:r>
          <a:endParaRPr/>
        </a:p>
        <a:p>
          <a:pPr>
            <a:defRPr/>
          </a:pPr>
          <a:r>
            <a:rPr lang="en-US" sz="1100" b="1"/>
            <a:t>*</a:t>
          </a:r>
          <a:r>
            <a:rPr lang="en-US" sz="1100"/>
            <a:t> The template contains example data in each tab. Please replace this information with your new data.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 b="1"/>
            <a:t>*</a:t>
          </a:r>
          <a:r>
            <a:rPr lang="en-US" sz="1100"/>
            <a:t> Cells colored in </a:t>
          </a:r>
          <a:r>
            <a:rPr lang="en-US" sz="1100" b="1">
              <a:solidFill>
                <a:schemeClr val="accent1"/>
              </a:solidFill>
            </a:rPr>
            <a:t>blue</a:t>
          </a:r>
          <a:r>
            <a:rPr lang="en-US" sz="1100"/>
            <a:t> are drop-down lists.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* Cells colored in </a:t>
          </a:r>
          <a:r>
            <a:rPr lang="en-US" sz="1100" b="1">
              <a:solidFill>
                <a:schemeClr val="accent6"/>
              </a:solidFill>
            </a:rPr>
            <a:t>green</a:t>
          </a:r>
          <a:r>
            <a:rPr lang="en-US" sz="1100"/>
            <a:t> can accept any input text or numerical values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 b="1"/>
            <a:t>*</a:t>
          </a:r>
          <a:r>
            <a:rPr lang="en-US" sz="1100"/>
            <a:t> If something is confusing or does not fit your data, please write a comment in the "comment" column at the end of each table.</a:t>
          </a:r>
        </a:p>
      </xdr:txBody>
    </xdr:sp>
    <xdr:clientData/>
  </xdr:twoCellAnchor>
  <xdr:twoCellAnchor>
    <xdr:from>
      <xdr:col>12</xdr:col>
      <xdr:colOff>327352</xdr:colOff>
      <xdr:row>12</xdr:row>
      <xdr:rowOff>102869</xdr:rowOff>
    </xdr:from>
    <xdr:to>
      <xdr:col>23</xdr:col>
      <xdr:colOff>26361</xdr:colOff>
      <xdr:row>29</xdr:row>
      <xdr:rowOff>57149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 bwMode="auto">
        <a:xfrm>
          <a:off x="10256443" y="2835293"/>
          <a:ext cx="6366509" cy="30619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endParaRPr lang="en-US" sz="1100"/>
        </a:p>
        <a:p>
          <a:pPr>
            <a:defRPr/>
          </a:pPr>
          <a:endParaRPr lang="en-US" sz="1100"/>
        </a:p>
        <a:p>
          <a:pPr>
            <a:defRPr/>
          </a:pPr>
          <a:endParaRPr lang="en-US" sz="1100"/>
        </a:p>
        <a:p>
          <a:pPr>
            <a:defRPr/>
          </a:pPr>
          <a:endParaRPr lang="en-US" sz="1100"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	</a:t>
          </a:r>
          <a:endParaRPr/>
        </a:p>
        <a:p>
          <a:pPr>
            <a:defRPr/>
          </a:pPr>
          <a:endParaRPr lang="en-US" sz="1100"/>
        </a:p>
        <a:p>
          <a:pPr>
            <a:defRPr/>
          </a:pPr>
          <a:endParaRPr lang="en-US" sz="1100"/>
        </a:p>
        <a:p>
          <a:pPr>
            <a:defRPr/>
          </a:pPr>
          <a:r>
            <a:rPr lang="en-US" sz="1100"/>
            <a:t>		</a:t>
          </a:r>
          <a:r>
            <a:rPr lang="en-US" sz="1100" b="1"/>
            <a:t>[ INSERT IMAGE OF PATHWAY HERE]</a:t>
          </a:r>
          <a:endParaRPr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zh-my.sharepoint.com/personal/stephanie_rich_chem_uzh_ch/Documents/Documents/envipath_fromChristoph/fludioxonil-pyrrole-4-14C_extraction.xlsx" TargetMode="External"/><Relationship Id="rId1" Type="http://schemas.openxmlformats.org/officeDocument/2006/relationships/externalLinkPath" Target="https://uzh-my.sharepoint.com/personal/stephanie_rich_chem_uzh_ch/Documents/Documents/envipath_fromChristoph/fludioxonil-pyrrole-4-14C_extra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OECD106"/>
      <sheetName val="OECD121"/>
      <sheetName val="OECD301"/>
      <sheetName val="OECD302"/>
      <sheetName val="OECD307"/>
      <sheetName val="OECD308"/>
      <sheetName val="OECD309"/>
      <sheetName val="OECD314B"/>
      <sheetName val="Pick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D1" t="str">
            <v>1 (Reliable without restrictions)</v>
          </cell>
        </row>
        <row r="2">
          <cell r="D2" t="str">
            <v>2 (Reliable with restrictions)</v>
          </cell>
        </row>
        <row r="3">
          <cell r="D3" t="str">
            <v>3 (Not Reliable)</v>
          </cell>
        </row>
        <row r="4">
          <cell r="D4" t="str">
            <v>4 (Not assignable)</v>
          </cell>
        </row>
        <row r="5">
          <cell r="D5" t="str">
            <v>Not yet assessed for quality</v>
          </cell>
        </row>
        <row r="6">
          <cell r="D6" t="str">
            <v>Assessed to be reliable by authorities in marketing authorisation procedure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.muster@eawag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13"/>
  <sheetViews>
    <sheetView tabSelected="1" zoomScale="66" workbookViewId="0">
      <selection activeCell="C3" sqref="C3"/>
    </sheetView>
  </sheetViews>
  <sheetFormatPr defaultRowHeight="14.5" x14ac:dyDescent="0.35"/>
  <cols>
    <col min="1" max="1" width="27.08984375" customWidth="1"/>
    <col min="2" max="2" width="28.1796875" customWidth="1"/>
  </cols>
  <sheetData>
    <row r="1" spans="1:2" x14ac:dyDescent="0.35">
      <c r="A1" s="1" t="s">
        <v>0</v>
      </c>
      <c r="B1" s="1" t="s">
        <v>1</v>
      </c>
    </row>
    <row r="2" spans="1:2" ht="85.75" customHeight="1" x14ac:dyDescent="0.35">
      <c r="A2" s="2" t="s">
        <v>2</v>
      </c>
      <c r="B2" s="56"/>
    </row>
    <row r="3" spans="1:2" ht="85.75" customHeight="1" x14ac:dyDescent="0.35">
      <c r="A3" s="57" t="s">
        <v>161</v>
      </c>
      <c r="B3" s="54"/>
    </row>
    <row r="4" spans="1:2" x14ac:dyDescent="0.35">
      <c r="A4" s="3" t="s">
        <v>3</v>
      </c>
      <c r="B4" s="55"/>
    </row>
    <row r="5" spans="1:2" x14ac:dyDescent="0.35">
      <c r="A5" s="3" t="s">
        <v>157</v>
      </c>
      <c r="B5" s="55" t="s">
        <v>167</v>
      </c>
    </row>
    <row r="6" spans="1:2" x14ac:dyDescent="0.35">
      <c r="A6" s="3" t="s">
        <v>4</v>
      </c>
      <c r="B6" s="4" t="s">
        <v>5</v>
      </c>
    </row>
    <row r="7" spans="1:2" x14ac:dyDescent="0.35">
      <c r="A7" s="3" t="s">
        <v>6</v>
      </c>
      <c r="B7" s="5" t="s">
        <v>168</v>
      </c>
    </row>
    <row r="8" spans="1:2" x14ac:dyDescent="0.35">
      <c r="A8" s="3" t="s">
        <v>7</v>
      </c>
      <c r="B8" s="63" t="s">
        <v>169</v>
      </c>
    </row>
    <row r="9" spans="1:2" x14ac:dyDescent="0.35">
      <c r="A9" s="6" t="s">
        <v>8</v>
      </c>
      <c r="B9" s="7" t="s">
        <v>166</v>
      </c>
    </row>
    <row r="13" spans="1:2" x14ac:dyDescent="0.35">
      <c r="B13" s="53"/>
    </row>
  </sheetData>
  <dataValidations count="1">
    <dataValidation type="list" allowBlank="1" showInputMessage="1" showErrorMessage="1" sqref="B6" xr:uid="{00E30064-0077-419F-B6E2-0016000D0003}">
      <formula1>"General, Sludge, Soil, Water-Sediment"</formula1>
    </dataValidation>
  </dataValidations>
  <hyperlinks>
    <hyperlink ref="B8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50"/>
  <sheetViews>
    <sheetView zoomScale="55" workbookViewId="0">
      <selection activeCell="C19" sqref="C19"/>
    </sheetView>
  </sheetViews>
  <sheetFormatPr defaultRowHeight="14.5" x14ac:dyDescent="0.35"/>
  <cols>
    <col min="1" max="1" width="24.1796875" customWidth="1"/>
    <col min="2" max="2" width="21.1796875" customWidth="1"/>
    <col min="3" max="3" width="47.1796875" customWidth="1"/>
    <col min="4" max="4" width="20.90625" customWidth="1"/>
    <col min="5" max="5" width="22.6328125" customWidth="1"/>
    <col min="6" max="6" width="24.81640625" customWidth="1"/>
    <col min="7" max="7" width="30.6328125" bestFit="1" customWidth="1"/>
  </cols>
  <sheetData>
    <row r="1" spans="1:7" x14ac:dyDescent="0.35">
      <c r="A1" s="8" t="s">
        <v>9</v>
      </c>
      <c r="B1" s="9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163</v>
      </c>
    </row>
    <row r="2" spans="1:7" x14ac:dyDescent="0.35">
      <c r="A2" s="11" t="s">
        <v>15</v>
      </c>
      <c r="B2" s="11"/>
      <c r="C2" s="12"/>
    </row>
    <row r="3" spans="1:7" x14ac:dyDescent="0.35">
      <c r="A3" t="s">
        <v>16</v>
      </c>
      <c r="B3" s="13"/>
      <c r="C3" s="14"/>
    </row>
    <row r="4" spans="1:7" x14ac:dyDescent="0.35">
      <c r="A4" t="s">
        <v>16</v>
      </c>
      <c r="B4" s="13"/>
      <c r="C4" s="14"/>
    </row>
    <row r="5" spans="1:7" x14ac:dyDescent="0.35">
      <c r="A5" t="s">
        <v>16</v>
      </c>
      <c r="B5" s="13"/>
      <c r="C5" s="14"/>
    </row>
    <row r="6" spans="1:7" ht="16.75" customHeight="1" x14ac:dyDescent="0.35">
      <c r="A6" t="s">
        <v>16</v>
      </c>
      <c r="B6" s="13"/>
      <c r="C6" s="14"/>
    </row>
    <row r="7" spans="1:7" ht="16.75" customHeight="1" x14ac:dyDescent="0.35">
      <c r="A7" t="s">
        <v>16</v>
      </c>
      <c r="B7" s="13"/>
      <c r="C7" s="14"/>
    </row>
    <row r="8" spans="1:7" ht="16.75" customHeight="1" x14ac:dyDescent="0.35">
      <c r="A8" t="s">
        <v>16</v>
      </c>
      <c r="B8" s="13"/>
      <c r="C8" s="14"/>
    </row>
    <row r="9" spans="1:7" ht="16.75" customHeight="1" x14ac:dyDescent="0.35">
      <c r="A9" t="s">
        <v>16</v>
      </c>
      <c r="B9" s="13"/>
      <c r="C9" s="14"/>
    </row>
    <row r="10" spans="1:7" ht="15.65" customHeight="1" x14ac:dyDescent="0.35">
      <c r="A10" t="s">
        <v>16</v>
      </c>
      <c r="B10" s="13"/>
      <c r="C10" s="14"/>
    </row>
    <row r="11" spans="1:7" ht="18" customHeight="1" x14ac:dyDescent="0.35">
      <c r="A11" t="s">
        <v>16</v>
      </c>
      <c r="B11" s="13"/>
      <c r="C11" s="14"/>
    </row>
    <row r="12" spans="1:7" ht="15" customHeight="1" x14ac:dyDescent="0.35">
      <c r="A12" t="s">
        <v>16</v>
      </c>
      <c r="B12" s="13"/>
      <c r="C12" s="14"/>
    </row>
    <row r="13" spans="1:7" ht="18" customHeight="1" x14ac:dyDescent="0.35">
      <c r="A13" t="s">
        <v>16</v>
      </c>
      <c r="B13" s="13"/>
      <c r="C13" s="14"/>
    </row>
    <row r="14" spans="1:7" x14ac:dyDescent="0.35">
      <c r="A14" t="s">
        <v>16</v>
      </c>
      <c r="B14" s="13"/>
      <c r="C14" s="14"/>
    </row>
    <row r="15" spans="1:7" x14ac:dyDescent="0.35">
      <c r="A15" t="s">
        <v>16</v>
      </c>
      <c r="B15" s="13"/>
    </row>
    <row r="16" spans="1:7" x14ac:dyDescent="0.35">
      <c r="A16" t="s">
        <v>16</v>
      </c>
      <c r="B16" s="13"/>
      <c r="C16" s="14"/>
    </row>
    <row r="17" spans="1:3" x14ac:dyDescent="0.35">
      <c r="A17" t="s">
        <v>16</v>
      </c>
      <c r="B17" s="13"/>
    </row>
    <row r="18" spans="1:3" x14ac:dyDescent="0.35">
      <c r="A18" t="s">
        <v>16</v>
      </c>
      <c r="B18" s="13"/>
      <c r="C18" s="14"/>
    </row>
    <row r="19" spans="1:3" x14ac:dyDescent="0.35">
      <c r="A19" t="s">
        <v>16</v>
      </c>
      <c r="B19" s="13"/>
    </row>
    <row r="20" spans="1:3" x14ac:dyDescent="0.35">
      <c r="A20" t="s">
        <v>16</v>
      </c>
      <c r="B20" s="13"/>
    </row>
    <row r="21" spans="1:3" x14ac:dyDescent="0.35">
      <c r="A21" t="s">
        <v>16</v>
      </c>
      <c r="B21" s="13"/>
    </row>
    <row r="22" spans="1:3" x14ac:dyDescent="0.35">
      <c r="A22" t="s">
        <v>16</v>
      </c>
    </row>
    <row r="23" spans="1:3" x14ac:dyDescent="0.35">
      <c r="A23" t="s">
        <v>16</v>
      </c>
    </row>
    <row r="24" spans="1:3" x14ac:dyDescent="0.35">
      <c r="A24" t="s">
        <v>16</v>
      </c>
    </row>
    <row r="25" spans="1:3" x14ac:dyDescent="0.35">
      <c r="A25" t="s">
        <v>16</v>
      </c>
    </row>
    <row r="26" spans="1:3" x14ac:dyDescent="0.35">
      <c r="A26" t="s">
        <v>16</v>
      </c>
    </row>
    <row r="27" spans="1:3" x14ac:dyDescent="0.35">
      <c r="A27" t="s">
        <v>16</v>
      </c>
    </row>
    <row r="28" spans="1:3" x14ac:dyDescent="0.35">
      <c r="A28" t="s">
        <v>16</v>
      </c>
    </row>
    <row r="29" spans="1:3" x14ac:dyDescent="0.35">
      <c r="A29" t="s">
        <v>16</v>
      </c>
    </row>
    <row r="30" spans="1:3" x14ac:dyDescent="0.35">
      <c r="A30" t="s">
        <v>16</v>
      </c>
    </row>
    <row r="31" spans="1:3" x14ac:dyDescent="0.35">
      <c r="A31" t="s">
        <v>16</v>
      </c>
    </row>
    <row r="32" spans="1:3" x14ac:dyDescent="0.35">
      <c r="A32" t="s">
        <v>16</v>
      </c>
    </row>
    <row r="33" spans="1:1" x14ac:dyDescent="0.35">
      <c r="A33" t="s">
        <v>16</v>
      </c>
    </row>
    <row r="34" spans="1:1" x14ac:dyDescent="0.35">
      <c r="A34" t="s">
        <v>16</v>
      </c>
    </row>
    <row r="35" spans="1:1" x14ac:dyDescent="0.35">
      <c r="A35" t="s">
        <v>16</v>
      </c>
    </row>
    <row r="36" spans="1:1" x14ac:dyDescent="0.35">
      <c r="A36" t="s">
        <v>16</v>
      </c>
    </row>
    <row r="37" spans="1:1" x14ac:dyDescent="0.35">
      <c r="A37" t="s">
        <v>16</v>
      </c>
    </row>
    <row r="38" spans="1:1" x14ac:dyDescent="0.35">
      <c r="A38" t="s">
        <v>16</v>
      </c>
    </row>
    <row r="39" spans="1:1" x14ac:dyDescent="0.35">
      <c r="A39" t="s">
        <v>16</v>
      </c>
    </row>
    <row r="40" spans="1:1" x14ac:dyDescent="0.35">
      <c r="A40" t="s">
        <v>16</v>
      </c>
    </row>
    <row r="41" spans="1:1" x14ac:dyDescent="0.35">
      <c r="A41" t="s">
        <v>16</v>
      </c>
    </row>
    <row r="42" spans="1:1" x14ac:dyDescent="0.35">
      <c r="A42" t="s">
        <v>16</v>
      </c>
    </row>
    <row r="43" spans="1:1" x14ac:dyDescent="0.35">
      <c r="A43" t="s">
        <v>16</v>
      </c>
    </row>
    <row r="44" spans="1:1" x14ac:dyDescent="0.35">
      <c r="A44" t="s">
        <v>16</v>
      </c>
    </row>
    <row r="45" spans="1:1" x14ac:dyDescent="0.35">
      <c r="A45" t="s">
        <v>16</v>
      </c>
    </row>
    <row r="46" spans="1:1" x14ac:dyDescent="0.35">
      <c r="A46" t="s">
        <v>16</v>
      </c>
    </row>
    <row r="47" spans="1:1" x14ac:dyDescent="0.35">
      <c r="A47" t="s">
        <v>16</v>
      </c>
    </row>
    <row r="48" spans="1:1" x14ac:dyDescent="0.35">
      <c r="A48" t="s">
        <v>16</v>
      </c>
    </row>
    <row r="49" spans="1:1" x14ac:dyDescent="0.35">
      <c r="A49" t="s">
        <v>16</v>
      </c>
    </row>
    <row r="50" spans="1:1" x14ac:dyDescent="0.35">
      <c r="A50" t="s">
        <v>16</v>
      </c>
    </row>
  </sheetData>
  <dataValidations count="2">
    <dataValidation allowBlank="1" showErrorMessage="1" sqref="C3:C5 C7:C8 B3:B8 B13:C13 B14:B15" xr:uid="{00000000-0002-0000-0100-000000000000}"/>
    <dataValidation allowBlank="1" showInputMessage="1" showErrorMessage="1" promptTitle="Type" prompt="The starting compound (reactant) for the pathway should be labeled &quot;parent&quot; and any other compounds (products) generated from the starting compound shoudl be labeled &quot;TP&quot; (transformation product)." sqref="A1" xr:uid="{00000000-0002-0000-0100-000001000000}"/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I50"/>
  <sheetViews>
    <sheetView zoomScale="47" workbookViewId="0">
      <selection activeCell="H2" sqref="H2"/>
    </sheetView>
  </sheetViews>
  <sheetFormatPr defaultRowHeight="14.5" x14ac:dyDescent="0.35"/>
  <cols>
    <col min="1" max="1" width="23.81640625" customWidth="1"/>
    <col min="2" max="2" width="73.81640625" customWidth="1"/>
    <col min="3" max="3" width="19.08984375" customWidth="1"/>
    <col min="4" max="4" width="72.6328125" customWidth="1"/>
    <col min="5" max="5" width="19.08984375" customWidth="1"/>
    <col min="6" max="6" width="72.6328125" customWidth="1"/>
    <col min="7" max="7" width="17.08984375" customWidth="1"/>
    <col min="8" max="8" width="30.54296875" customWidth="1"/>
    <col min="9" max="9" width="12.81640625" customWidth="1"/>
    <col min="11" max="11" width="15.453125" customWidth="1"/>
  </cols>
  <sheetData>
    <row r="1" spans="1:9" x14ac:dyDescent="0.35">
      <c r="A1" s="10" t="s">
        <v>17</v>
      </c>
      <c r="B1" s="10" t="s">
        <v>18</v>
      </c>
      <c r="C1" s="10" t="s">
        <v>19</v>
      </c>
      <c r="D1" s="10" t="s">
        <v>158</v>
      </c>
      <c r="E1" s="10" t="s">
        <v>20</v>
      </c>
      <c r="F1" s="10" t="s">
        <v>159</v>
      </c>
      <c r="G1" s="10" t="s">
        <v>21</v>
      </c>
      <c r="H1" s="10" t="s">
        <v>160</v>
      </c>
      <c r="I1" s="10" t="s">
        <v>22</v>
      </c>
    </row>
    <row r="2" spans="1:9" ht="17.399999999999999" customHeight="1" x14ac:dyDescent="0.35">
      <c r="A2" s="15"/>
      <c r="B2">
        <f>_xlfn.XLOOKUP(A2,Compounds!$B$2:$B$50,Compounds!$C$2:$C$50)</f>
        <v>0</v>
      </c>
      <c r="C2" s="15"/>
      <c r="D2">
        <f>_xlfn.XLOOKUP(C2,Compounds!$B$2:$B$50,Compounds!$C$2:$C$50)</f>
        <v>0</v>
      </c>
      <c r="E2" s="15"/>
      <c r="F2">
        <f>_xlfn.XLOOKUP(E2,Compounds!$B$2:$B$50,Compounds!$C$2:$C$50)</f>
        <v>0</v>
      </c>
      <c r="G2" s="15"/>
    </row>
    <row r="3" spans="1:9" ht="18.649999999999999" customHeight="1" x14ac:dyDescent="0.35">
      <c r="A3" s="15"/>
      <c r="B3">
        <f>_xlfn.XLOOKUP(A3,Compounds!$B$2:$B$50,Compounds!$C$2:$C$50)</f>
        <v>0</v>
      </c>
      <c r="C3" s="15"/>
      <c r="D3">
        <f>_xlfn.XLOOKUP(C3,Compounds!$B$2:$B$50,Compounds!$C$2:$C$50)</f>
        <v>0</v>
      </c>
      <c r="E3" s="15"/>
      <c r="F3">
        <f>_xlfn.XLOOKUP(E3,Compounds!$B$2:$B$50,Compounds!$C$2:$C$50)</f>
        <v>0</v>
      </c>
      <c r="G3" s="15"/>
    </row>
    <row r="4" spans="1:9" ht="18.649999999999999" customHeight="1" x14ac:dyDescent="0.35">
      <c r="A4" s="15"/>
      <c r="B4">
        <f>_xlfn.XLOOKUP(A4,Compounds!$B$2:$B$50,Compounds!$C$2:$C$50)</f>
        <v>0</v>
      </c>
      <c r="C4" s="15"/>
      <c r="D4">
        <f>_xlfn.XLOOKUP(C4,Compounds!$B$2:$B$50,Compounds!$C$2:$C$50)</f>
        <v>0</v>
      </c>
      <c r="E4" s="15"/>
      <c r="F4">
        <f>_xlfn.XLOOKUP(E4,Compounds!$B$2:$B$50,Compounds!$C$2:$C$50)</f>
        <v>0</v>
      </c>
      <c r="G4" s="15"/>
    </row>
    <row r="5" spans="1:9" ht="18.649999999999999" customHeight="1" x14ac:dyDescent="0.35">
      <c r="A5" s="15"/>
      <c r="B5">
        <f>_xlfn.XLOOKUP(A5,Compounds!$B$2:$B$50,Compounds!$C$2:$C$50)</f>
        <v>0</v>
      </c>
      <c r="C5" s="15"/>
      <c r="D5">
        <f>_xlfn.XLOOKUP(C5,Compounds!$B$2:$B$50,Compounds!$C$2:$C$50)</f>
        <v>0</v>
      </c>
      <c r="E5" s="15"/>
      <c r="F5">
        <f>_xlfn.XLOOKUP(E5,Compounds!$B$2:$B$50,Compounds!$C$2:$C$50)</f>
        <v>0</v>
      </c>
      <c r="G5" s="15"/>
    </row>
    <row r="6" spans="1:9" ht="19.75" customHeight="1" x14ac:dyDescent="0.35">
      <c r="A6" s="16"/>
      <c r="B6">
        <f>_xlfn.XLOOKUP(A6,Compounds!$B$2:$B$50,Compounds!$C$2:$C$50)</f>
        <v>0</v>
      </c>
      <c r="C6" s="16"/>
      <c r="D6">
        <f>_xlfn.XLOOKUP(C6,Compounds!$B$2:$B$50,Compounds!$C$2:$C$50)</f>
        <v>0</v>
      </c>
      <c r="E6" s="16"/>
      <c r="F6">
        <f>_xlfn.XLOOKUP(E6,Compounds!$B$2:$B$50,Compounds!$C$2:$C$50)</f>
        <v>0</v>
      </c>
      <c r="G6" s="15"/>
    </row>
    <row r="7" spans="1:9" ht="19.75" customHeight="1" x14ac:dyDescent="0.35">
      <c r="A7" s="16"/>
      <c r="B7">
        <f>_xlfn.XLOOKUP(A7,Compounds!$B$2:$B$50,Compounds!$C$2:$C$50)</f>
        <v>0</v>
      </c>
      <c r="C7" s="16"/>
      <c r="D7">
        <f>_xlfn.XLOOKUP(C7,Compounds!$B$2:$B$50,Compounds!$C$2:$C$50)</f>
        <v>0</v>
      </c>
      <c r="E7" s="16"/>
      <c r="F7">
        <f>_xlfn.XLOOKUP(E7,Compounds!$B$2:$B$50,Compounds!$C$2:$C$50)</f>
        <v>0</v>
      </c>
      <c r="G7" s="15"/>
    </row>
    <row r="8" spans="1:9" ht="19.75" customHeight="1" x14ac:dyDescent="0.35">
      <c r="A8" s="16"/>
      <c r="B8">
        <f>_xlfn.XLOOKUP(A8,Compounds!$B$2:$B$50,Compounds!$C$2:$C$50)</f>
        <v>0</v>
      </c>
      <c r="C8" s="16"/>
      <c r="D8">
        <f>_xlfn.XLOOKUP(C8,Compounds!$B$2:$B$50,Compounds!$C$2:$C$50)</f>
        <v>0</v>
      </c>
      <c r="E8" s="16"/>
      <c r="F8">
        <f>_xlfn.XLOOKUP(E8,Compounds!$B$2:$B$50,Compounds!$C$2:$C$50)</f>
        <v>0</v>
      </c>
      <c r="G8" s="15"/>
    </row>
    <row r="9" spans="1:9" ht="18.649999999999999" customHeight="1" x14ac:dyDescent="0.35">
      <c r="A9" s="15"/>
      <c r="B9">
        <f>_xlfn.XLOOKUP(A9,Compounds!$B$2:$B$50,Compounds!$C$2:$C$50)</f>
        <v>0</v>
      </c>
      <c r="C9" s="15"/>
      <c r="D9">
        <f>_xlfn.XLOOKUP(C9,Compounds!$B$2:$B$50,Compounds!$C$2:$C$50)</f>
        <v>0</v>
      </c>
      <c r="E9" s="15"/>
      <c r="F9">
        <f>_xlfn.XLOOKUP(E9,Compounds!$B$2:$B$50,Compounds!$C$2:$C$50)</f>
        <v>0</v>
      </c>
      <c r="G9" s="15"/>
    </row>
    <row r="10" spans="1:9" ht="18.649999999999999" customHeight="1" x14ac:dyDescent="0.35">
      <c r="A10" s="15"/>
      <c r="B10">
        <f>_xlfn.XLOOKUP(A10,Compounds!$B$2:$B$50,Compounds!$C$2:$C$50)</f>
        <v>0</v>
      </c>
      <c r="C10" s="15"/>
      <c r="D10">
        <f>_xlfn.XLOOKUP(C10,Compounds!$B$2:$B$50,Compounds!$C$2:$C$50)</f>
        <v>0</v>
      </c>
      <c r="E10" s="15"/>
      <c r="F10">
        <f>_xlfn.XLOOKUP(E10,Compounds!$B$2:$B$50,Compounds!$C$2:$C$50)</f>
        <v>0</v>
      </c>
      <c r="G10" s="15"/>
    </row>
    <row r="11" spans="1:9" x14ac:dyDescent="0.35">
      <c r="A11" s="16"/>
      <c r="B11">
        <f>_xlfn.XLOOKUP(A11,Compounds!$B$2:$B$50,Compounds!$C$2:$C$50)</f>
        <v>0</v>
      </c>
      <c r="C11" s="16"/>
      <c r="D11">
        <f>_xlfn.XLOOKUP(C11,Compounds!$B$2:$B$50,Compounds!$C$2:$C$50)</f>
        <v>0</v>
      </c>
      <c r="E11" s="16"/>
      <c r="F11">
        <f>_xlfn.XLOOKUP(E11,Compounds!$B$2:$B$50,Compounds!$C$2:$C$50)</f>
        <v>0</v>
      </c>
      <c r="G11" s="15"/>
    </row>
    <row r="12" spans="1:9" x14ac:dyDescent="0.35">
      <c r="A12" s="16"/>
      <c r="B12">
        <f>_xlfn.XLOOKUP(A12,Compounds!$B$2:$B$50,Compounds!$C$2:$C$50)</f>
        <v>0</v>
      </c>
      <c r="C12" s="16"/>
      <c r="D12">
        <f>_xlfn.XLOOKUP(C12,Compounds!$B$2:$B$50,Compounds!$C$2:$C$50)</f>
        <v>0</v>
      </c>
      <c r="E12" s="16"/>
      <c r="F12">
        <f>_xlfn.XLOOKUP(E12,Compounds!$B$2:$B$50,Compounds!$C$2:$C$50)</f>
        <v>0</v>
      </c>
      <c r="G12" s="15"/>
    </row>
    <row r="13" spans="1:9" x14ac:dyDescent="0.35">
      <c r="A13" s="16"/>
      <c r="B13">
        <f>_xlfn.XLOOKUP(A13,Compounds!$B$2:$B$50,Compounds!$C$2:$C$50)</f>
        <v>0</v>
      </c>
      <c r="C13" s="16"/>
      <c r="D13">
        <f>_xlfn.XLOOKUP(C13,Compounds!$B$2:$B$50,Compounds!$C$2:$C$50)</f>
        <v>0</v>
      </c>
      <c r="E13" s="16"/>
      <c r="F13">
        <f>_xlfn.XLOOKUP(E13,Compounds!$B$2:$B$50,Compounds!$C$2:$C$50)</f>
        <v>0</v>
      </c>
      <c r="G13" s="15"/>
    </row>
    <row r="14" spans="1:9" x14ac:dyDescent="0.35">
      <c r="A14" s="16"/>
      <c r="B14">
        <f>_xlfn.XLOOKUP(A14,Compounds!$B$2:$B$50,Compounds!$C$2:$C$50)</f>
        <v>0</v>
      </c>
      <c r="C14" s="16"/>
      <c r="D14">
        <f>_xlfn.XLOOKUP(C14,Compounds!$B$2:$B$50,Compounds!$C$2:$C$50)</f>
        <v>0</v>
      </c>
      <c r="E14" s="16"/>
      <c r="F14">
        <f>_xlfn.XLOOKUP(E14,Compounds!$B$2:$B$50,Compounds!$C$2:$C$50)</f>
        <v>0</v>
      </c>
      <c r="G14" s="15"/>
    </row>
    <row r="15" spans="1:9" x14ac:dyDescent="0.35">
      <c r="A15" s="16"/>
      <c r="B15">
        <f>_xlfn.XLOOKUP(A15,Compounds!$B$2:$B$50,Compounds!$C$2:$C$50)</f>
        <v>0</v>
      </c>
      <c r="C15" s="16"/>
      <c r="D15">
        <f>_xlfn.XLOOKUP(C15,Compounds!$B$2:$B$50,Compounds!$C$2:$C$50)</f>
        <v>0</v>
      </c>
      <c r="E15" s="16"/>
      <c r="F15">
        <f>_xlfn.XLOOKUP(E15,Compounds!$B$2:$B$50,Compounds!$C$2:$C$50)</f>
        <v>0</v>
      </c>
      <c r="G15" s="15"/>
    </row>
    <row r="16" spans="1:9" x14ac:dyDescent="0.35">
      <c r="A16" s="16"/>
      <c r="B16">
        <f>_xlfn.XLOOKUP(A16,Compounds!$B$2:$B$50,Compounds!$C$2:$C$50)</f>
        <v>0</v>
      </c>
      <c r="C16" s="16"/>
      <c r="D16">
        <f>_xlfn.XLOOKUP(C16,Compounds!$B$2:$B$50,Compounds!$C$2:$C$50)</f>
        <v>0</v>
      </c>
      <c r="E16" s="16"/>
      <c r="F16">
        <f>_xlfn.XLOOKUP(E16,Compounds!$B$2:$B$50,Compounds!$C$2:$C$50)</f>
        <v>0</v>
      </c>
      <c r="G16" s="15"/>
    </row>
    <row r="17" spans="1:7" x14ac:dyDescent="0.35">
      <c r="A17" s="16"/>
      <c r="B17">
        <f>_xlfn.XLOOKUP(A17,Compounds!$B$2:$B$50,Compounds!$C$2:$C$50)</f>
        <v>0</v>
      </c>
      <c r="C17" s="16"/>
      <c r="D17">
        <f>_xlfn.XLOOKUP(C17,Compounds!$B$2:$B$50,Compounds!$C$2:$C$50)</f>
        <v>0</v>
      </c>
      <c r="E17" s="16"/>
      <c r="F17">
        <f>_xlfn.XLOOKUP(E17,Compounds!$B$2:$B$50,Compounds!$C$2:$C$50)</f>
        <v>0</v>
      </c>
      <c r="G17" s="15"/>
    </row>
    <row r="18" spans="1:7" x14ac:dyDescent="0.35">
      <c r="A18" s="16"/>
      <c r="B18">
        <f>_xlfn.XLOOKUP(A18,Compounds!$B$2:$B$50,Compounds!$C$2:$C$50)</f>
        <v>0</v>
      </c>
      <c r="C18" s="16"/>
      <c r="D18">
        <f>_xlfn.XLOOKUP(C18,Compounds!$B$2:$B$50,Compounds!$C$2:$C$50)</f>
        <v>0</v>
      </c>
      <c r="E18" s="16"/>
      <c r="F18">
        <f>_xlfn.XLOOKUP(E18,Compounds!$B$2:$B$50,Compounds!$C$2:$C$50)</f>
        <v>0</v>
      </c>
      <c r="G18" s="15"/>
    </row>
    <row r="19" spans="1:7" x14ac:dyDescent="0.35">
      <c r="A19" s="16"/>
      <c r="B19">
        <f>_xlfn.XLOOKUP(A19,Compounds!$B$2:$B$50,Compounds!$C$2:$C$50)</f>
        <v>0</v>
      </c>
      <c r="C19" s="16"/>
      <c r="D19">
        <f>_xlfn.XLOOKUP(C19,Compounds!$B$2:$B$50,Compounds!$C$2:$C$50)</f>
        <v>0</v>
      </c>
      <c r="E19" s="16"/>
      <c r="F19">
        <f>_xlfn.XLOOKUP(E19,Compounds!$B$2:$B$50,Compounds!$C$2:$C$50)</f>
        <v>0</v>
      </c>
      <c r="G19" s="15"/>
    </row>
    <row r="20" spans="1:7" x14ac:dyDescent="0.35">
      <c r="A20" s="16"/>
      <c r="B20">
        <f>_xlfn.XLOOKUP(A20,Compounds!$B$2:$B$50,Compounds!$C$2:$C$50)</f>
        <v>0</v>
      </c>
      <c r="C20" s="16"/>
      <c r="D20">
        <f>_xlfn.XLOOKUP(C20,Compounds!$B$2:$B$50,Compounds!$C$2:$C$50)</f>
        <v>0</v>
      </c>
      <c r="E20" s="16"/>
      <c r="F20">
        <f>_xlfn.XLOOKUP(E20,Compounds!$B$2:$B$50,Compounds!$C$2:$C$50)</f>
        <v>0</v>
      </c>
      <c r="G20" s="15"/>
    </row>
    <row r="21" spans="1:7" x14ac:dyDescent="0.35">
      <c r="A21" s="16"/>
      <c r="B21">
        <f>_xlfn.XLOOKUP(A21,Compounds!$B$2:$B$50,Compounds!$C$2:$C$50)</f>
        <v>0</v>
      </c>
      <c r="C21" s="16"/>
      <c r="D21">
        <f>_xlfn.XLOOKUP(C21,Compounds!$B$2:$B$50,Compounds!$C$2:$C$50)</f>
        <v>0</v>
      </c>
      <c r="E21" s="16"/>
      <c r="F21">
        <f>_xlfn.XLOOKUP(E21,Compounds!$B$2:$B$50,Compounds!$C$2:$C$50)</f>
        <v>0</v>
      </c>
      <c r="G21" s="15"/>
    </row>
    <row r="22" spans="1:7" x14ac:dyDescent="0.35">
      <c r="A22" s="16"/>
      <c r="B22">
        <f>_xlfn.XLOOKUP(A22,Compounds!$B$2:$B$50,Compounds!$C$2:$C$50)</f>
        <v>0</v>
      </c>
      <c r="C22" s="16"/>
      <c r="D22">
        <f>_xlfn.XLOOKUP(C22,Compounds!$B$2:$B$50,Compounds!$C$2:$C$50)</f>
        <v>0</v>
      </c>
      <c r="E22" s="16"/>
      <c r="F22">
        <f>_xlfn.XLOOKUP(E22,Compounds!$B$2:$B$50,Compounds!$C$2:$C$50)</f>
        <v>0</v>
      </c>
      <c r="G22" s="15"/>
    </row>
    <row r="23" spans="1:7" x14ac:dyDescent="0.35">
      <c r="A23" s="16"/>
      <c r="B23">
        <f>_xlfn.XLOOKUP(A23,Compounds!$B$2:$B$50,Compounds!$C$2:$C$50)</f>
        <v>0</v>
      </c>
      <c r="C23" s="16"/>
      <c r="D23">
        <f>_xlfn.XLOOKUP(C23,Compounds!$B$2:$B$50,Compounds!$C$2:$C$50)</f>
        <v>0</v>
      </c>
      <c r="E23" s="16"/>
      <c r="F23">
        <f>_xlfn.XLOOKUP(E23,Compounds!$B$2:$B$50,Compounds!$C$2:$C$50)</f>
        <v>0</v>
      </c>
      <c r="G23" s="15"/>
    </row>
    <row r="24" spans="1:7" x14ac:dyDescent="0.35">
      <c r="A24" s="16"/>
      <c r="B24">
        <f>_xlfn.XLOOKUP(A24,Compounds!$B$2:$B$50,Compounds!$C$2:$C$50)</f>
        <v>0</v>
      </c>
      <c r="C24" s="16"/>
      <c r="D24">
        <f>_xlfn.XLOOKUP(C24,Compounds!$B$2:$B$50,Compounds!$C$2:$C$50)</f>
        <v>0</v>
      </c>
      <c r="E24" s="16"/>
      <c r="F24">
        <f>_xlfn.XLOOKUP(E24,Compounds!$B$2:$B$50,Compounds!$C$2:$C$50)</f>
        <v>0</v>
      </c>
      <c r="G24" s="15"/>
    </row>
    <row r="25" spans="1:7" x14ac:dyDescent="0.35">
      <c r="A25" s="16"/>
      <c r="B25">
        <f>_xlfn.XLOOKUP(A25,Compounds!$B$2:$B$50,Compounds!$C$2:$C$50)</f>
        <v>0</v>
      </c>
      <c r="C25" s="16"/>
      <c r="D25">
        <f>_xlfn.XLOOKUP(C25,Compounds!$B$2:$B$50,Compounds!$C$2:$C$50)</f>
        <v>0</v>
      </c>
      <c r="E25" s="16"/>
      <c r="F25">
        <f>_xlfn.XLOOKUP(E25,Compounds!$B$2:$B$50,Compounds!$C$2:$C$50)</f>
        <v>0</v>
      </c>
      <c r="G25" s="15"/>
    </row>
    <row r="26" spans="1:7" x14ac:dyDescent="0.35">
      <c r="A26" s="16"/>
      <c r="B26">
        <f>_xlfn.XLOOKUP(A26,Compounds!$B$2:$B$50,Compounds!$C$2:$C$50)</f>
        <v>0</v>
      </c>
      <c r="C26" s="16"/>
      <c r="D26">
        <f>_xlfn.XLOOKUP(C26,Compounds!$B$2:$B$50,Compounds!$C$2:$C$50)</f>
        <v>0</v>
      </c>
      <c r="E26" s="16"/>
      <c r="F26">
        <f>_xlfn.XLOOKUP(E26,Compounds!$B$2:$B$50,Compounds!$C$2:$C$50)</f>
        <v>0</v>
      </c>
      <c r="G26" s="15"/>
    </row>
    <row r="27" spans="1:7" x14ac:dyDescent="0.35">
      <c r="A27" s="15"/>
      <c r="B27">
        <f>_xlfn.XLOOKUP(A27,Compounds!$B$2:$B$50,Compounds!$C$2:$C$50)</f>
        <v>0</v>
      </c>
      <c r="C27" s="15"/>
      <c r="D27">
        <f>_xlfn.XLOOKUP(C27,Compounds!$B$2:$B$50,Compounds!$C$2:$C$50)</f>
        <v>0</v>
      </c>
      <c r="E27" s="15"/>
      <c r="F27">
        <f>_xlfn.XLOOKUP(E27,Compounds!$B$2:$B$50,Compounds!$C$2:$C$50)</f>
        <v>0</v>
      </c>
      <c r="G27" s="15"/>
    </row>
    <row r="28" spans="1:7" x14ac:dyDescent="0.35">
      <c r="A28" s="15"/>
      <c r="B28">
        <f>_xlfn.XLOOKUP(A28,Compounds!$B$2:$B$50,Compounds!$C$2:$C$50)</f>
        <v>0</v>
      </c>
      <c r="C28" s="15"/>
      <c r="D28">
        <f>_xlfn.XLOOKUP(C28,Compounds!$B$2:$B$50,Compounds!$C$2:$C$50)</f>
        <v>0</v>
      </c>
      <c r="E28" s="15"/>
      <c r="F28">
        <f>_xlfn.XLOOKUP(E28,Compounds!$B$2:$B$50,Compounds!$C$2:$C$50)</f>
        <v>0</v>
      </c>
      <c r="G28" s="15"/>
    </row>
    <row r="29" spans="1:7" x14ac:dyDescent="0.35">
      <c r="A29" s="15"/>
      <c r="B29">
        <f>_xlfn.XLOOKUP(A29,Compounds!$B$2:$B$50,Compounds!$C$2:$C$50)</f>
        <v>0</v>
      </c>
      <c r="C29" s="15"/>
      <c r="D29">
        <f>_xlfn.XLOOKUP(C29,Compounds!$B$2:$B$50,Compounds!$C$2:$C$50)</f>
        <v>0</v>
      </c>
      <c r="E29" s="15"/>
      <c r="F29">
        <f>_xlfn.XLOOKUP(E29,Compounds!$B$2:$B$50,Compounds!$C$2:$C$50)</f>
        <v>0</v>
      </c>
      <c r="G29" s="15"/>
    </row>
    <row r="30" spans="1:7" x14ac:dyDescent="0.35">
      <c r="A30" s="15"/>
      <c r="B30">
        <f>_xlfn.XLOOKUP(A30,Compounds!$B$2:$B$50,Compounds!$C$2:$C$50)</f>
        <v>0</v>
      </c>
      <c r="C30" s="15"/>
      <c r="D30">
        <f>_xlfn.XLOOKUP(C30,Compounds!$B$2:$B$50,Compounds!$C$2:$C$50)</f>
        <v>0</v>
      </c>
      <c r="E30" s="15"/>
      <c r="F30">
        <f>_xlfn.XLOOKUP(E30,Compounds!$B$2:$B$50,Compounds!$C$2:$C$50)</f>
        <v>0</v>
      </c>
      <c r="G30" s="15"/>
    </row>
    <row r="31" spans="1:7" x14ac:dyDescent="0.35">
      <c r="A31" s="16"/>
      <c r="B31">
        <f>_xlfn.XLOOKUP(A31,Compounds!$B$2:$B$50,Compounds!$C$2:$C$50)</f>
        <v>0</v>
      </c>
      <c r="C31" s="16"/>
      <c r="D31">
        <f>_xlfn.XLOOKUP(C31,Compounds!$B$2:$B$50,Compounds!$C$2:$C$50)</f>
        <v>0</v>
      </c>
      <c r="E31" s="16"/>
      <c r="F31">
        <f>_xlfn.XLOOKUP(E31,Compounds!$B$2:$B$50,Compounds!$C$2:$C$50)</f>
        <v>0</v>
      </c>
      <c r="G31" s="15"/>
    </row>
    <row r="32" spans="1:7" x14ac:dyDescent="0.35">
      <c r="A32" s="16"/>
      <c r="B32">
        <f>_xlfn.XLOOKUP(A32,Compounds!$B$2:$B$50,Compounds!$C$2:$C$50)</f>
        <v>0</v>
      </c>
      <c r="C32" s="16"/>
      <c r="D32">
        <f>_xlfn.XLOOKUP(C32,Compounds!$B$2:$B$50,Compounds!$C$2:$C$50)</f>
        <v>0</v>
      </c>
      <c r="E32" s="16"/>
      <c r="F32">
        <f>_xlfn.XLOOKUP(E32,Compounds!$B$2:$B$50,Compounds!$C$2:$C$50)</f>
        <v>0</v>
      </c>
      <c r="G32" s="15"/>
    </row>
    <row r="33" spans="1:7" x14ac:dyDescent="0.35">
      <c r="A33" s="16"/>
      <c r="B33">
        <f>_xlfn.XLOOKUP(A33,Compounds!$B$2:$B$50,Compounds!$C$2:$C$50)</f>
        <v>0</v>
      </c>
      <c r="C33" s="16"/>
      <c r="D33">
        <f>_xlfn.XLOOKUP(C33,Compounds!$B$2:$B$50,Compounds!$C$2:$C$50)</f>
        <v>0</v>
      </c>
      <c r="E33" s="16"/>
      <c r="F33">
        <f>_xlfn.XLOOKUP(E33,Compounds!$B$2:$B$50,Compounds!$C$2:$C$50)</f>
        <v>0</v>
      </c>
      <c r="G33" s="15"/>
    </row>
    <row r="34" spans="1:7" x14ac:dyDescent="0.35">
      <c r="A34" s="15"/>
      <c r="B34">
        <f>_xlfn.XLOOKUP(A34,Compounds!$B$2:$B$50,Compounds!$C$2:$C$50)</f>
        <v>0</v>
      </c>
      <c r="C34" s="15"/>
      <c r="D34">
        <f>_xlfn.XLOOKUP(C34,Compounds!$B$2:$B$50,Compounds!$C$2:$C$50)</f>
        <v>0</v>
      </c>
      <c r="E34" s="15"/>
      <c r="F34">
        <f>_xlfn.XLOOKUP(E34,Compounds!$B$2:$B$50,Compounds!$C$2:$C$50)</f>
        <v>0</v>
      </c>
      <c r="G34" s="15"/>
    </row>
    <row r="35" spans="1:7" x14ac:dyDescent="0.35">
      <c r="A35" s="15"/>
      <c r="B35">
        <f>_xlfn.XLOOKUP(A35,Compounds!$B$2:$B$50,Compounds!$C$2:$C$50)</f>
        <v>0</v>
      </c>
      <c r="C35" s="15"/>
      <c r="D35">
        <f>_xlfn.XLOOKUP(C35,Compounds!$B$2:$B$50,Compounds!$C$2:$C$50)</f>
        <v>0</v>
      </c>
      <c r="E35" s="15"/>
      <c r="F35">
        <f>_xlfn.XLOOKUP(E35,Compounds!$B$2:$B$50,Compounds!$C$2:$C$50)</f>
        <v>0</v>
      </c>
      <c r="G35" s="15"/>
    </row>
    <row r="36" spans="1:7" x14ac:dyDescent="0.35">
      <c r="A36" s="16"/>
      <c r="B36">
        <f>_xlfn.XLOOKUP(A36,Compounds!$B$2:$B$50,Compounds!$C$2:$C$50)</f>
        <v>0</v>
      </c>
      <c r="C36" s="16"/>
      <c r="D36">
        <f>_xlfn.XLOOKUP(C36,Compounds!$B$2:$B$50,Compounds!$C$2:$C$50)</f>
        <v>0</v>
      </c>
      <c r="E36" s="16"/>
      <c r="F36">
        <f>_xlfn.XLOOKUP(E36,Compounds!$B$2:$B$50,Compounds!$C$2:$C$50)</f>
        <v>0</v>
      </c>
      <c r="G36" s="15"/>
    </row>
    <row r="37" spans="1:7" x14ac:dyDescent="0.35">
      <c r="A37" s="16"/>
      <c r="B37">
        <f>_xlfn.XLOOKUP(A37,Compounds!$B$2:$B$50,Compounds!$C$2:$C$50)</f>
        <v>0</v>
      </c>
      <c r="C37" s="16"/>
      <c r="D37">
        <f>_xlfn.XLOOKUP(C37,Compounds!$B$2:$B$50,Compounds!$C$2:$C$50)</f>
        <v>0</v>
      </c>
      <c r="E37" s="16"/>
      <c r="F37">
        <f>_xlfn.XLOOKUP(E37,Compounds!$B$2:$B$50,Compounds!$C$2:$C$50)</f>
        <v>0</v>
      </c>
      <c r="G37" s="15"/>
    </row>
    <row r="38" spans="1:7" x14ac:dyDescent="0.35">
      <c r="A38" s="16"/>
      <c r="B38">
        <f>_xlfn.XLOOKUP(A38,Compounds!$B$2:$B$50,Compounds!$C$2:$C$50)</f>
        <v>0</v>
      </c>
      <c r="C38" s="16"/>
      <c r="D38">
        <f>_xlfn.XLOOKUP(C38,Compounds!$B$2:$B$50,Compounds!$C$2:$C$50)</f>
        <v>0</v>
      </c>
      <c r="E38" s="16"/>
      <c r="F38">
        <f>_xlfn.XLOOKUP(E38,Compounds!$B$2:$B$50,Compounds!$C$2:$C$50)</f>
        <v>0</v>
      </c>
      <c r="G38" s="15"/>
    </row>
    <row r="39" spans="1:7" x14ac:dyDescent="0.35">
      <c r="A39" s="16"/>
      <c r="B39">
        <f>_xlfn.XLOOKUP(A39,Compounds!$B$2:$B$50,Compounds!$C$2:$C$50)</f>
        <v>0</v>
      </c>
      <c r="C39" s="16"/>
      <c r="D39">
        <f>_xlfn.XLOOKUP(C39,Compounds!$B$2:$B$50,Compounds!$C$2:$C$50)</f>
        <v>0</v>
      </c>
      <c r="E39" s="16"/>
      <c r="F39">
        <f>_xlfn.XLOOKUP(E39,Compounds!$B$2:$B$50,Compounds!$C$2:$C$50)</f>
        <v>0</v>
      </c>
      <c r="G39" s="15"/>
    </row>
    <row r="40" spans="1:7" x14ac:dyDescent="0.35">
      <c r="A40" s="16"/>
      <c r="B40">
        <f>_xlfn.XLOOKUP(A40,Compounds!$B$2:$B$50,Compounds!$C$2:$C$50)</f>
        <v>0</v>
      </c>
      <c r="C40" s="16"/>
      <c r="D40">
        <f>_xlfn.XLOOKUP(C40,Compounds!$B$2:$B$50,Compounds!$C$2:$C$50)</f>
        <v>0</v>
      </c>
      <c r="E40" s="16"/>
      <c r="F40">
        <f>_xlfn.XLOOKUP(E40,Compounds!$B$2:$B$50,Compounds!$C$2:$C$50)</f>
        <v>0</v>
      </c>
      <c r="G40" s="15"/>
    </row>
    <row r="41" spans="1:7" x14ac:dyDescent="0.35">
      <c r="A41" s="16"/>
      <c r="B41">
        <f>_xlfn.XLOOKUP(A41,Compounds!$B$2:$B$50,Compounds!$C$2:$C$50)</f>
        <v>0</v>
      </c>
      <c r="C41" s="16"/>
      <c r="D41">
        <f>_xlfn.XLOOKUP(C41,Compounds!$B$2:$B$50,Compounds!$C$2:$C$50)</f>
        <v>0</v>
      </c>
      <c r="E41" s="16"/>
      <c r="F41">
        <f>_xlfn.XLOOKUP(E41,Compounds!$B$2:$B$50,Compounds!$C$2:$C$50)</f>
        <v>0</v>
      </c>
      <c r="G41" s="15"/>
    </row>
    <row r="42" spans="1:7" x14ac:dyDescent="0.35">
      <c r="A42" s="16"/>
      <c r="B42">
        <f>_xlfn.XLOOKUP(A42,Compounds!$B$2:$B$50,Compounds!$C$2:$C$50)</f>
        <v>0</v>
      </c>
      <c r="C42" s="16"/>
      <c r="D42">
        <f>_xlfn.XLOOKUP(C42,Compounds!$B$2:$B$50,Compounds!$C$2:$C$50)</f>
        <v>0</v>
      </c>
      <c r="E42" s="16"/>
      <c r="F42">
        <f>_xlfn.XLOOKUP(E42,Compounds!$B$2:$B$50,Compounds!$C$2:$C$50)</f>
        <v>0</v>
      </c>
      <c r="G42" s="15"/>
    </row>
    <row r="43" spans="1:7" x14ac:dyDescent="0.35">
      <c r="A43" s="16"/>
      <c r="B43">
        <f>_xlfn.XLOOKUP(A43,Compounds!$B$2:$B$50,Compounds!$C$2:$C$50)</f>
        <v>0</v>
      </c>
      <c r="C43" s="16"/>
      <c r="D43">
        <f>_xlfn.XLOOKUP(C43,Compounds!$B$2:$B$50,Compounds!$C$2:$C$50)</f>
        <v>0</v>
      </c>
      <c r="E43" s="16"/>
      <c r="F43">
        <f>_xlfn.XLOOKUP(E43,Compounds!$B$2:$B$50,Compounds!$C$2:$C$50)</f>
        <v>0</v>
      </c>
      <c r="G43" s="15"/>
    </row>
    <row r="44" spans="1:7" x14ac:dyDescent="0.35">
      <c r="A44" s="16"/>
      <c r="B44">
        <f>_xlfn.XLOOKUP(A44,Compounds!$B$2:$B$50,Compounds!$C$2:$C$50)</f>
        <v>0</v>
      </c>
      <c r="C44" s="16"/>
      <c r="D44">
        <f>_xlfn.XLOOKUP(C44,Compounds!$B$2:$B$50,Compounds!$C$2:$C$50)</f>
        <v>0</v>
      </c>
      <c r="E44" s="16"/>
      <c r="F44">
        <f>_xlfn.XLOOKUP(E44,Compounds!$B$2:$B$50,Compounds!$C$2:$C$50)</f>
        <v>0</v>
      </c>
      <c r="G44" s="15"/>
    </row>
    <row r="45" spans="1:7" x14ac:dyDescent="0.35">
      <c r="A45" s="16"/>
      <c r="B45">
        <f>_xlfn.XLOOKUP(A45,Compounds!$B$2:$B$50,Compounds!$C$2:$C$50)</f>
        <v>0</v>
      </c>
      <c r="C45" s="16"/>
      <c r="D45">
        <f>_xlfn.XLOOKUP(C45,Compounds!$B$2:$B$50,Compounds!$C$2:$C$50)</f>
        <v>0</v>
      </c>
      <c r="E45" s="16"/>
      <c r="F45">
        <f>_xlfn.XLOOKUP(E45,Compounds!$B$2:$B$50,Compounds!$C$2:$C$50)</f>
        <v>0</v>
      </c>
      <c r="G45" s="15"/>
    </row>
    <row r="46" spans="1:7" x14ac:dyDescent="0.35">
      <c r="A46" s="16"/>
      <c r="B46">
        <f>_xlfn.XLOOKUP(A46,Compounds!$B$2:$B$50,Compounds!$C$2:$C$50)</f>
        <v>0</v>
      </c>
      <c r="C46" s="16"/>
      <c r="D46">
        <f>_xlfn.XLOOKUP(C46,Compounds!$B$2:$B$50,Compounds!$C$2:$C$50)</f>
        <v>0</v>
      </c>
      <c r="E46" s="16"/>
      <c r="F46">
        <f>_xlfn.XLOOKUP(E46,Compounds!$B$2:$B$50,Compounds!$C$2:$C$50)</f>
        <v>0</v>
      </c>
      <c r="G46" s="15"/>
    </row>
    <row r="47" spans="1:7" x14ac:dyDescent="0.35">
      <c r="A47" s="16"/>
      <c r="B47">
        <f>_xlfn.XLOOKUP(A47,Compounds!$B$2:$B$50,Compounds!$C$2:$C$50)</f>
        <v>0</v>
      </c>
      <c r="C47" s="16"/>
      <c r="D47">
        <f>_xlfn.XLOOKUP(C47,Compounds!$B$2:$B$50,Compounds!$C$2:$C$50)</f>
        <v>0</v>
      </c>
      <c r="E47" s="16"/>
      <c r="F47">
        <f>_xlfn.XLOOKUP(E47,Compounds!$B$2:$B$50,Compounds!$C$2:$C$50)</f>
        <v>0</v>
      </c>
      <c r="G47" s="15"/>
    </row>
    <row r="48" spans="1:7" x14ac:dyDescent="0.35">
      <c r="A48" s="16"/>
      <c r="B48">
        <f>_xlfn.XLOOKUP(A48,Compounds!$B$2:$B$50,Compounds!$C$2:$C$50)</f>
        <v>0</v>
      </c>
      <c r="C48" s="16"/>
      <c r="D48">
        <f>_xlfn.XLOOKUP(C48,Compounds!$B$2:$B$50,Compounds!$C$2:$C$50)</f>
        <v>0</v>
      </c>
      <c r="E48" s="16"/>
      <c r="F48">
        <f>_xlfn.XLOOKUP(E48,Compounds!$B$2:$B$50,Compounds!$C$2:$C$50)</f>
        <v>0</v>
      </c>
      <c r="G48" s="15"/>
    </row>
    <row r="49" spans="1:7" x14ac:dyDescent="0.35">
      <c r="A49" s="16"/>
      <c r="B49">
        <f>_xlfn.XLOOKUP(A49,Compounds!$B$2:$B$50,Compounds!$C$2:$C$50)</f>
        <v>0</v>
      </c>
      <c r="C49" s="16"/>
      <c r="D49">
        <f>_xlfn.XLOOKUP(C49,Compounds!$B$2:$B$50,Compounds!$C$2:$C$50)</f>
        <v>0</v>
      </c>
      <c r="E49" s="16"/>
      <c r="F49">
        <f>_xlfn.XLOOKUP(E49,Compounds!$B$2:$B$50,Compounds!$C$2:$C$50)</f>
        <v>0</v>
      </c>
      <c r="G49" s="15"/>
    </row>
    <row r="50" spans="1:7" x14ac:dyDescent="0.35">
      <c r="A50" s="16"/>
      <c r="B50">
        <f>_xlfn.XLOOKUP(A50,Compounds!$B$2:$B$50,Compounds!$C$2:$C$50)</f>
        <v>0</v>
      </c>
      <c r="C50" s="16"/>
      <c r="D50">
        <f>_xlfn.XLOOKUP(C50,Compounds!$B$2:$B$50,Compounds!$C$2:$C$50)</f>
        <v>0</v>
      </c>
      <c r="E50" s="16"/>
      <c r="F50">
        <f>_xlfn.XLOOKUP(E50,Compounds!$B$2:$B$50,Compounds!$C$2:$C$50)</f>
        <v>0</v>
      </c>
      <c r="G50" s="15"/>
    </row>
  </sheetData>
  <dataValidations count="3">
    <dataValidation allowBlank="1" showInputMessage="1" showErrorMessage="1" promptTitle="Multistep" prompt="If the reported reaction consisted of multiple enzymatic steps, please note this here by choosing &quot;multistep reaction&quot;" sqref="G1" xr:uid="{00000000-0002-0000-0200-000000000000}"/>
    <dataValidation allowBlank="1" showInputMessage="1" showErrorMessage="1" promptTitle="Comment" prompt="Use this column to take note of confusing entries or data that shoudl be included in future versions of this template." sqref="I1" xr:uid="{00000000-0002-0000-0200-000001000000}"/>
    <dataValidation type="list" allowBlank="1" showInputMessage="1" showErrorMessage="1" sqref="G2:G50" xr:uid="{00F900A1-0084-49E8-800F-007E00080063}">
      <formula1>"multistep reaction, 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5203E0-E713-426C-9CE0-724F50F0AD84}">
          <x14:formula1>
            <xm:f>Compounds!$B$2:$B$50</xm:f>
          </x14:formula1>
          <xm:sqref>A2:A50 C2:C50 E2:E50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I58"/>
  <sheetViews>
    <sheetView zoomScale="49" zoomScaleNormal="100" workbookViewId="0">
      <selection activeCell="B10" sqref="B10"/>
    </sheetView>
  </sheetViews>
  <sheetFormatPr defaultRowHeight="14.5" x14ac:dyDescent="0.35"/>
  <cols>
    <col min="1" max="1" width="26.90625" customWidth="1"/>
    <col min="2" max="2" width="42.54296875" customWidth="1"/>
    <col min="3" max="3" width="43.08984375" customWidth="1"/>
    <col min="4" max="4" width="49.6328125" customWidth="1"/>
    <col min="5" max="5" width="35" customWidth="1"/>
    <col min="6" max="6" width="36.54296875" customWidth="1"/>
    <col min="7" max="7" width="11.08984375" customWidth="1"/>
    <col min="8" max="8" width="14" customWidth="1"/>
    <col min="9" max="9" width="25.453125" customWidth="1"/>
    <col min="10" max="10" width="13.1796875" customWidth="1"/>
    <col min="11" max="11" width="12.36328125" customWidth="1"/>
  </cols>
  <sheetData>
    <row r="1" spans="1:9" x14ac:dyDescent="0.35">
      <c r="A1" s="17" t="s">
        <v>23</v>
      </c>
      <c r="B1" s="17" t="s">
        <v>1</v>
      </c>
      <c r="C1" s="10" t="s">
        <v>24</v>
      </c>
      <c r="D1" s="10" t="s">
        <v>25</v>
      </c>
      <c r="E1" s="10" t="s">
        <v>9</v>
      </c>
      <c r="F1" s="10" t="s">
        <v>26</v>
      </c>
      <c r="G1" s="10" t="s">
        <v>27</v>
      </c>
      <c r="H1" s="10" t="s">
        <v>28</v>
      </c>
      <c r="I1" s="10" t="s">
        <v>22</v>
      </c>
    </row>
    <row r="2" spans="1:9" ht="14.4" customHeight="1" x14ac:dyDescent="0.35">
      <c r="A2" s="18" t="s">
        <v>10</v>
      </c>
      <c r="B2" s="18" t="str">
        <f>Description!B5</f>
        <v>e.g. Geng &amp; Helbling, 2026</v>
      </c>
      <c r="C2" s="58" t="s">
        <v>29</v>
      </c>
      <c r="D2" s="19" t="s">
        <v>30</v>
      </c>
      <c r="E2" s="20"/>
      <c r="F2" s="21"/>
      <c r="G2" s="20"/>
      <c r="H2" s="22"/>
      <c r="I2" s="23"/>
    </row>
    <row r="3" spans="1:9" ht="14.4" customHeight="1" x14ac:dyDescent="0.35">
      <c r="A3" s="18" t="s">
        <v>31</v>
      </c>
      <c r="B3" s="40">
        <f>Description!B3</f>
        <v>0</v>
      </c>
      <c r="C3" s="59"/>
      <c r="D3" s="24" t="s">
        <v>32</v>
      </c>
      <c r="E3" s="25"/>
      <c r="F3" s="26"/>
      <c r="G3" s="25"/>
      <c r="H3" s="27"/>
      <c r="I3" s="28"/>
    </row>
    <row r="4" spans="1:9" ht="14.4" customHeight="1" x14ac:dyDescent="0.35">
      <c r="C4" s="59"/>
      <c r="D4" s="24" t="s">
        <v>33</v>
      </c>
      <c r="E4" s="25"/>
      <c r="F4" s="26"/>
      <c r="G4" s="25"/>
      <c r="H4" s="27"/>
      <c r="I4" s="28"/>
    </row>
    <row r="5" spans="1:9" ht="14.4" customHeight="1" x14ac:dyDescent="0.35">
      <c r="C5" s="59"/>
      <c r="D5" s="24" t="s">
        <v>34</v>
      </c>
      <c r="E5" s="25"/>
      <c r="F5" s="29"/>
      <c r="G5" s="25"/>
      <c r="H5" s="27"/>
      <c r="I5" s="28"/>
    </row>
    <row r="6" spans="1:9" ht="14.4" customHeight="1" x14ac:dyDescent="0.35">
      <c r="C6" s="60"/>
      <c r="D6" s="24" t="s">
        <v>35</v>
      </c>
      <c r="E6" s="30"/>
      <c r="F6" s="29"/>
      <c r="G6" t="s">
        <v>36</v>
      </c>
      <c r="H6" s="27"/>
      <c r="I6" s="28"/>
    </row>
    <row r="7" spans="1:9" ht="14.4" customHeight="1" x14ac:dyDescent="0.35">
      <c r="C7" s="58" t="s">
        <v>37</v>
      </c>
      <c r="D7" s="19" t="s">
        <v>38</v>
      </c>
      <c r="E7" s="31"/>
      <c r="F7" s="31"/>
      <c r="G7" s="11" t="s">
        <v>39</v>
      </c>
      <c r="H7" s="22"/>
      <c r="I7" s="28"/>
    </row>
    <row r="8" spans="1:9" ht="14.4" customHeight="1" x14ac:dyDescent="0.35">
      <c r="C8" s="59"/>
      <c r="D8" s="24" t="s">
        <v>40</v>
      </c>
      <c r="E8" s="25"/>
      <c r="F8" s="29"/>
      <c r="G8" t="s">
        <v>39</v>
      </c>
      <c r="H8" s="27"/>
      <c r="I8" s="28"/>
    </row>
    <row r="9" spans="1:9" ht="14.4" customHeight="1" x14ac:dyDescent="0.35">
      <c r="C9" s="59"/>
      <c r="D9" s="24" t="s">
        <v>41</v>
      </c>
      <c r="E9" s="25"/>
      <c r="F9" s="29"/>
      <c r="G9" s="25"/>
      <c r="H9" s="27"/>
      <c r="I9" s="28"/>
    </row>
    <row r="10" spans="1:9" ht="14.4" customHeight="1" x14ac:dyDescent="0.35">
      <c r="C10" s="59"/>
      <c r="D10" s="24" t="s">
        <v>42</v>
      </c>
      <c r="E10" s="25"/>
      <c r="F10" s="29"/>
      <c r="G10" s="30"/>
      <c r="H10" s="25"/>
      <c r="I10" s="28"/>
    </row>
    <row r="11" spans="1:9" ht="14.4" customHeight="1" x14ac:dyDescent="0.35">
      <c r="C11" s="59"/>
      <c r="D11" s="24" t="s">
        <v>42</v>
      </c>
      <c r="E11" t="s">
        <v>43</v>
      </c>
      <c r="F11" s="29"/>
      <c r="G11" t="s">
        <v>44</v>
      </c>
      <c r="H11" s="28" t="s">
        <v>45</v>
      </c>
      <c r="I11" s="28"/>
    </row>
    <row r="12" spans="1:9" ht="14.4" customHeight="1" x14ac:dyDescent="0.35">
      <c r="C12" s="59"/>
      <c r="D12" s="24" t="s">
        <v>42</v>
      </c>
      <c r="E12" t="s">
        <v>43</v>
      </c>
      <c r="F12" s="29"/>
      <c r="G12" t="s">
        <v>44</v>
      </c>
      <c r="H12" s="28" t="s">
        <v>46</v>
      </c>
      <c r="I12" s="28"/>
    </row>
    <row r="13" spans="1:9" ht="14.4" customHeight="1" x14ac:dyDescent="0.35">
      <c r="C13" s="59"/>
      <c r="D13" s="24" t="s">
        <v>42</v>
      </c>
      <c r="E13" t="s">
        <v>47</v>
      </c>
      <c r="F13" s="29"/>
      <c r="G13" t="s">
        <v>44</v>
      </c>
      <c r="H13" s="28" t="s">
        <v>45</v>
      </c>
      <c r="I13" s="28"/>
    </row>
    <row r="14" spans="1:9" ht="14.4" customHeight="1" x14ac:dyDescent="0.35">
      <c r="C14" s="59"/>
      <c r="D14" s="24" t="s">
        <v>42</v>
      </c>
      <c r="E14" t="s">
        <v>47</v>
      </c>
      <c r="F14" s="29"/>
      <c r="G14" t="s">
        <v>44</v>
      </c>
      <c r="H14" s="28" t="s">
        <v>46</v>
      </c>
      <c r="I14" s="28"/>
    </row>
    <row r="15" spans="1:9" ht="14.4" customHeight="1" x14ac:dyDescent="0.35">
      <c r="C15" s="59"/>
      <c r="D15" s="24" t="s">
        <v>48</v>
      </c>
      <c r="E15" s="25"/>
      <c r="F15" s="29"/>
      <c r="G15" t="s">
        <v>49</v>
      </c>
      <c r="H15" s="27"/>
      <c r="I15" s="28"/>
    </row>
    <row r="16" spans="1:9" ht="14.4" customHeight="1" x14ac:dyDescent="0.35">
      <c r="C16" s="59"/>
      <c r="D16" s="24" t="s">
        <v>50</v>
      </c>
      <c r="E16" s="25"/>
      <c r="F16" s="29"/>
      <c r="G16" t="s">
        <v>51</v>
      </c>
      <c r="H16" s="28" t="s">
        <v>52</v>
      </c>
      <c r="I16" s="28"/>
    </row>
    <row r="17" spans="3:9" ht="14.4" customHeight="1" x14ac:dyDescent="0.35">
      <c r="C17" s="59"/>
      <c r="D17" s="24" t="s">
        <v>50</v>
      </c>
      <c r="E17" s="25"/>
      <c r="F17" s="29"/>
      <c r="G17" t="s">
        <v>51</v>
      </c>
      <c r="H17" s="28" t="s">
        <v>53</v>
      </c>
      <c r="I17" s="28"/>
    </row>
    <row r="18" spans="3:9" ht="14.4" customHeight="1" x14ac:dyDescent="0.35">
      <c r="C18" s="59"/>
      <c r="D18" s="24" t="s">
        <v>54</v>
      </c>
      <c r="E18" s="25"/>
      <c r="F18" s="29"/>
      <c r="G18" t="s">
        <v>51</v>
      </c>
      <c r="H18" s="28" t="s">
        <v>52</v>
      </c>
      <c r="I18" s="28"/>
    </row>
    <row r="19" spans="3:9" ht="14.4" customHeight="1" x14ac:dyDescent="0.35">
      <c r="C19" s="59"/>
      <c r="D19" s="24" t="s">
        <v>54</v>
      </c>
      <c r="E19" s="25"/>
      <c r="F19" s="29"/>
      <c r="G19" t="s">
        <v>51</v>
      </c>
      <c r="H19" s="28" t="s">
        <v>53</v>
      </c>
      <c r="I19" s="28"/>
    </row>
    <row r="20" spans="3:9" ht="14.4" customHeight="1" x14ac:dyDescent="0.35">
      <c r="C20" s="59"/>
      <c r="D20" s="24" t="s">
        <v>55</v>
      </c>
      <c r="E20" s="25"/>
      <c r="F20" s="26"/>
      <c r="G20" s="25"/>
      <c r="H20" s="27"/>
      <c r="I20" s="28"/>
    </row>
    <row r="21" spans="3:9" ht="14.4" customHeight="1" x14ac:dyDescent="0.35">
      <c r="C21" s="59"/>
      <c r="D21" s="24" t="s">
        <v>56</v>
      </c>
      <c r="E21" s="25"/>
      <c r="F21" s="26"/>
      <c r="G21" s="25"/>
      <c r="H21" s="27"/>
      <c r="I21" s="28"/>
    </row>
    <row r="22" spans="3:9" ht="14.4" customHeight="1" x14ac:dyDescent="0.35">
      <c r="C22" s="59"/>
      <c r="D22" s="24" t="s">
        <v>57</v>
      </c>
      <c r="E22" s="25"/>
      <c r="F22" s="29"/>
      <c r="G22" t="s">
        <v>58</v>
      </c>
      <c r="H22" s="28" t="s">
        <v>59</v>
      </c>
      <c r="I22" s="28"/>
    </row>
    <row r="23" spans="3:9" ht="14.4" customHeight="1" x14ac:dyDescent="0.35">
      <c r="C23" s="59"/>
      <c r="D23" s="24" t="s">
        <v>57</v>
      </c>
      <c r="E23" s="25"/>
      <c r="F23" s="29"/>
      <c r="G23" t="s">
        <v>58</v>
      </c>
      <c r="H23" s="28" t="s">
        <v>60</v>
      </c>
      <c r="I23" s="28"/>
    </row>
    <row r="24" spans="3:9" ht="14.4" customHeight="1" x14ac:dyDescent="0.35">
      <c r="C24" s="59"/>
      <c r="D24" s="24" t="s">
        <v>61</v>
      </c>
      <c r="E24" s="26"/>
      <c r="F24" s="29"/>
      <c r="G24" s="25" t="s">
        <v>62</v>
      </c>
      <c r="H24" s="28" t="s">
        <v>45</v>
      </c>
      <c r="I24" s="28"/>
    </row>
    <row r="25" spans="3:9" ht="14.4" customHeight="1" x14ac:dyDescent="0.35">
      <c r="C25" s="59"/>
      <c r="D25" s="24" t="s">
        <v>61</v>
      </c>
      <c r="E25" s="26"/>
      <c r="F25" s="29"/>
      <c r="G25" s="25" t="s">
        <v>62</v>
      </c>
      <c r="H25" s="28" t="s">
        <v>46</v>
      </c>
      <c r="I25" s="28"/>
    </row>
    <row r="26" spans="3:9" ht="14.4" customHeight="1" x14ac:dyDescent="0.35">
      <c r="C26" s="59"/>
      <c r="D26" s="24" t="s">
        <v>63</v>
      </c>
      <c r="E26" s="30"/>
      <c r="F26" s="29"/>
      <c r="G26" t="s">
        <v>64</v>
      </c>
      <c r="H26" s="28" t="s">
        <v>65</v>
      </c>
      <c r="I26" s="28"/>
    </row>
    <row r="27" spans="3:9" ht="14.4" customHeight="1" x14ac:dyDescent="0.35">
      <c r="C27" s="59"/>
      <c r="D27" s="24" t="s">
        <v>63</v>
      </c>
      <c r="E27" s="30"/>
      <c r="F27" s="29"/>
      <c r="G27" t="s">
        <v>64</v>
      </c>
      <c r="H27" s="28" t="s">
        <v>66</v>
      </c>
      <c r="I27" s="28"/>
    </row>
    <row r="28" spans="3:9" ht="14.4" customHeight="1" x14ac:dyDescent="0.35">
      <c r="C28" s="59"/>
      <c r="D28" s="24" t="s">
        <v>67</v>
      </c>
      <c r="E28" s="30"/>
      <c r="F28" s="29"/>
      <c r="G28" t="s">
        <v>64</v>
      </c>
      <c r="H28" s="28" t="s">
        <v>65</v>
      </c>
      <c r="I28" s="28"/>
    </row>
    <row r="29" spans="3:9" ht="14.4" customHeight="1" x14ac:dyDescent="0.35">
      <c r="C29" s="59"/>
      <c r="D29" s="24" t="s">
        <v>67</v>
      </c>
      <c r="E29" s="30"/>
      <c r="F29" s="29"/>
      <c r="G29" t="s">
        <v>64</v>
      </c>
      <c r="H29" s="28" t="s">
        <v>66</v>
      </c>
      <c r="I29" s="28"/>
    </row>
    <row r="30" spans="3:9" ht="14.4" customHeight="1" x14ac:dyDescent="0.35">
      <c r="C30" s="59"/>
      <c r="D30" s="24" t="s">
        <v>68</v>
      </c>
      <c r="E30" s="25"/>
      <c r="F30" s="29"/>
      <c r="G30" t="s">
        <v>64</v>
      </c>
      <c r="H30" s="28" t="s">
        <v>65</v>
      </c>
      <c r="I30" s="28"/>
    </row>
    <row r="31" spans="3:9" ht="14.4" customHeight="1" x14ac:dyDescent="0.35">
      <c r="C31" s="59"/>
      <c r="D31" s="24" t="s">
        <v>68</v>
      </c>
      <c r="E31" s="25"/>
      <c r="F31" s="29"/>
      <c r="G31" t="s">
        <v>64</v>
      </c>
      <c r="H31" s="28" t="s">
        <v>66</v>
      </c>
      <c r="I31" s="28"/>
    </row>
    <row r="32" spans="3:9" ht="14.4" customHeight="1" x14ac:dyDescent="0.35">
      <c r="C32" s="59"/>
      <c r="D32" s="24" t="s">
        <v>69</v>
      </c>
      <c r="E32" s="25"/>
      <c r="F32" s="29"/>
      <c r="G32" s="25"/>
      <c r="H32" s="27"/>
      <c r="I32" s="28"/>
    </row>
    <row r="33" spans="3:9" ht="14.4" customHeight="1" x14ac:dyDescent="0.35">
      <c r="C33" s="59"/>
      <c r="D33" s="24" t="s">
        <v>70</v>
      </c>
      <c r="E33" s="25"/>
      <c r="F33" s="29"/>
      <c r="G33" t="s">
        <v>71</v>
      </c>
      <c r="H33" s="28" t="s">
        <v>52</v>
      </c>
      <c r="I33" s="28"/>
    </row>
    <row r="34" spans="3:9" ht="14.4" customHeight="1" x14ac:dyDescent="0.35">
      <c r="C34" s="59"/>
      <c r="D34" s="24" t="s">
        <v>70</v>
      </c>
      <c r="E34" s="25"/>
      <c r="F34" s="29"/>
      <c r="G34" t="s">
        <v>71</v>
      </c>
      <c r="H34" s="28" t="s">
        <v>53</v>
      </c>
      <c r="I34" s="28"/>
    </row>
    <row r="35" spans="3:9" ht="14.4" customHeight="1" x14ac:dyDescent="0.35">
      <c r="C35" s="59"/>
      <c r="D35" s="24" t="s">
        <v>72</v>
      </c>
      <c r="E35" s="25"/>
      <c r="F35" s="29"/>
      <c r="G35" t="s">
        <v>71</v>
      </c>
      <c r="H35" s="28" t="s">
        <v>52</v>
      </c>
      <c r="I35" s="28"/>
    </row>
    <row r="36" spans="3:9" ht="14.4" customHeight="1" x14ac:dyDescent="0.35">
      <c r="C36" s="59"/>
      <c r="D36" s="24" t="s">
        <v>72</v>
      </c>
      <c r="E36" s="25"/>
      <c r="F36" s="29"/>
      <c r="G36" t="s">
        <v>71</v>
      </c>
      <c r="H36" s="28" t="s">
        <v>53</v>
      </c>
      <c r="I36" s="28"/>
    </row>
    <row r="37" spans="3:9" ht="14.4" customHeight="1" x14ac:dyDescent="0.35">
      <c r="C37" s="59"/>
      <c r="D37" s="24" t="s">
        <v>73</v>
      </c>
      <c r="E37" s="25"/>
      <c r="F37" s="29"/>
      <c r="G37" t="s">
        <v>64</v>
      </c>
      <c r="H37" s="28" t="s">
        <v>45</v>
      </c>
      <c r="I37" s="28"/>
    </row>
    <row r="38" spans="3:9" ht="14.4" customHeight="1" x14ac:dyDescent="0.35">
      <c r="C38" s="59"/>
      <c r="D38" s="24" t="s">
        <v>73</v>
      </c>
      <c r="E38" s="25"/>
      <c r="F38" s="29"/>
      <c r="G38" t="s">
        <v>64</v>
      </c>
      <c r="H38" s="28" t="s">
        <v>46</v>
      </c>
      <c r="I38" s="28"/>
    </row>
    <row r="39" spans="3:9" ht="14.4" customHeight="1" x14ac:dyDescent="0.35">
      <c r="C39" s="60"/>
      <c r="D39" s="24" t="s">
        <v>74</v>
      </c>
      <c r="E39" s="25"/>
      <c r="F39" s="26"/>
      <c r="G39" s="25"/>
      <c r="H39" s="27"/>
      <c r="I39" s="28"/>
    </row>
    <row r="40" spans="3:9" ht="14.4" customHeight="1" x14ac:dyDescent="0.35">
      <c r="C40" s="58" t="s">
        <v>75</v>
      </c>
      <c r="D40" s="19" t="s">
        <v>76</v>
      </c>
      <c r="E40" s="20"/>
      <c r="F40" s="31"/>
      <c r="G40" t="s">
        <v>77</v>
      </c>
      <c r="H40" s="22"/>
      <c r="I40" s="23"/>
    </row>
    <row r="41" spans="3:9" ht="14.4" customHeight="1" x14ac:dyDescent="0.35">
      <c r="C41" s="59"/>
      <c r="D41" s="24" t="s">
        <v>78</v>
      </c>
      <c r="E41" s="25"/>
      <c r="F41" s="26"/>
      <c r="G41" s="25"/>
      <c r="H41" s="27"/>
      <c r="I41" s="28"/>
    </row>
    <row r="42" spans="3:9" ht="14.4" customHeight="1" x14ac:dyDescent="0.35">
      <c r="C42" s="59"/>
      <c r="D42" s="24" t="s">
        <v>79</v>
      </c>
      <c r="E42" t="s">
        <v>80</v>
      </c>
      <c r="F42" s="26"/>
      <c r="G42" s="25"/>
      <c r="H42" s="27"/>
      <c r="I42" s="28"/>
    </row>
    <row r="43" spans="3:9" ht="14.4" customHeight="1" x14ac:dyDescent="0.35">
      <c r="C43" s="59"/>
      <c r="D43" s="24" t="s">
        <v>79</v>
      </c>
      <c r="E43" t="s">
        <v>81</v>
      </c>
      <c r="F43" s="26"/>
      <c r="G43" s="25"/>
      <c r="H43" s="27"/>
      <c r="I43" s="28"/>
    </row>
    <row r="44" spans="3:9" ht="14.4" customHeight="1" x14ac:dyDescent="0.35">
      <c r="C44" s="60"/>
      <c r="D44" s="24" t="s">
        <v>79</v>
      </c>
      <c r="E44" t="s">
        <v>82</v>
      </c>
      <c r="F44" s="26"/>
      <c r="G44" s="25"/>
      <c r="H44" s="27"/>
      <c r="I44" s="28"/>
    </row>
    <row r="45" spans="3:9" ht="14.4" customHeight="1" x14ac:dyDescent="0.35">
      <c r="C45" s="58" t="s">
        <v>83</v>
      </c>
      <c r="D45" s="19" t="s">
        <v>162</v>
      </c>
      <c r="E45" s="25"/>
      <c r="F45" s="31"/>
      <c r="G45" s="20"/>
      <c r="H45" s="22"/>
      <c r="I45" s="23"/>
    </row>
    <row r="46" spans="3:9" ht="14.4" customHeight="1" x14ac:dyDescent="0.35">
      <c r="C46" s="59"/>
      <c r="D46" s="24" t="s">
        <v>84</v>
      </c>
      <c r="E46" t="s">
        <v>85</v>
      </c>
      <c r="F46" s="29"/>
      <c r="G46" s="25"/>
      <c r="H46" s="27"/>
      <c r="I46" s="28"/>
    </row>
    <row r="47" spans="3:9" ht="14.4" customHeight="1" x14ac:dyDescent="0.35">
      <c r="C47" s="59"/>
      <c r="D47" s="24" t="s">
        <v>86</v>
      </c>
      <c r="E47" s="30"/>
      <c r="F47" s="29"/>
      <c r="G47" s="25"/>
      <c r="H47" s="27"/>
      <c r="I47" s="28"/>
    </row>
    <row r="48" spans="3:9" ht="14.4" customHeight="1" x14ac:dyDescent="0.35">
      <c r="C48" s="59"/>
      <c r="D48" s="24" t="s">
        <v>87</v>
      </c>
      <c r="E48" s="25"/>
      <c r="F48" s="29"/>
      <c r="G48" s="25"/>
      <c r="H48" s="27"/>
      <c r="I48" s="28"/>
    </row>
    <row r="49" spans="3:9" ht="14.4" customHeight="1" x14ac:dyDescent="0.35">
      <c r="C49" s="59"/>
      <c r="D49" s="24" t="s">
        <v>88</v>
      </c>
      <c r="E49" s="25"/>
      <c r="F49" s="29"/>
      <c r="G49" t="s">
        <v>89</v>
      </c>
      <c r="H49" s="28" t="s">
        <v>52</v>
      </c>
      <c r="I49" s="28"/>
    </row>
    <row r="50" spans="3:9" ht="14.4" customHeight="1" x14ac:dyDescent="0.35">
      <c r="C50" s="59"/>
      <c r="D50" s="24" t="s">
        <v>88</v>
      </c>
      <c r="E50" s="25"/>
      <c r="F50" s="29"/>
      <c r="G50" t="s">
        <v>89</v>
      </c>
      <c r="H50" s="28" t="s">
        <v>53</v>
      </c>
      <c r="I50" s="28"/>
    </row>
    <row r="51" spans="3:9" ht="14.4" customHeight="1" x14ac:dyDescent="0.35">
      <c r="C51" s="59"/>
      <c r="D51" s="24" t="s">
        <v>90</v>
      </c>
      <c r="E51" s="25"/>
      <c r="F51" s="29"/>
      <c r="G51" t="s">
        <v>89</v>
      </c>
      <c r="H51" s="28" t="s">
        <v>52</v>
      </c>
      <c r="I51" s="28"/>
    </row>
    <row r="52" spans="3:9" ht="14.4" customHeight="1" x14ac:dyDescent="0.35">
      <c r="C52" s="59"/>
      <c r="D52" s="24" t="s">
        <v>90</v>
      </c>
      <c r="E52" s="25"/>
      <c r="F52" s="29"/>
      <c r="G52" t="s">
        <v>89</v>
      </c>
      <c r="H52" s="28" t="s">
        <v>53</v>
      </c>
      <c r="I52" s="28"/>
    </row>
    <row r="53" spans="3:9" ht="14.4" customHeight="1" x14ac:dyDescent="0.35">
      <c r="C53" s="60"/>
      <c r="D53" s="32" t="s">
        <v>91</v>
      </c>
      <c r="E53" s="33"/>
      <c r="F53" s="34" t="s">
        <v>92</v>
      </c>
      <c r="G53" s="33"/>
      <c r="H53" s="35"/>
      <c r="I53" s="36"/>
    </row>
    <row r="54" spans="3:9" ht="14.4" customHeight="1" x14ac:dyDescent="0.35"/>
    <row r="55" spans="3:9" ht="14.4" customHeight="1" x14ac:dyDescent="0.35"/>
    <row r="56" spans="3:9" ht="15.65" customHeight="1" x14ac:dyDescent="0.35"/>
    <row r="57" spans="3:9" ht="15.65" customHeight="1" x14ac:dyDescent="0.35"/>
    <row r="58" spans="3:9" ht="15.65" customHeight="1" x14ac:dyDescent="0.35"/>
  </sheetData>
  <mergeCells count="4">
    <mergeCell ref="C2:C6"/>
    <mergeCell ref="C7:C39"/>
    <mergeCell ref="C40:C44"/>
    <mergeCell ref="C45:C53"/>
  </mergeCells>
  <dataValidations count="14">
    <dataValidation type="list" allowBlank="1" showInputMessage="1" showErrorMessage="1" sqref="G10" xr:uid="{00920037-0095-49FE-85BF-00F2009C00B9}">
      <formula1>"mg/L, %"</formula1>
    </dataValidation>
    <dataValidation type="list" allowBlank="1" showInputMessage="1" showErrorMessage="1" sqref="E47" xr:uid="{00DE00E1-00BD-46DA-AE37-006800F0000B}">
      <formula1>"PubMed ID, DOI, other"</formula1>
    </dataValidation>
    <dataValidation type="list" allowBlank="1" showInputMessage="1" showErrorMessage="1" sqref="E28:E29" xr:uid="{00D1004C-00D1-486E-8099-006C00F700CA}">
      <formula1>"NH4-N, Ntot"</formula1>
    </dataValidation>
    <dataValidation type="list" allowBlank="1" showInputMessage="1" showErrorMessage="1" sqref="E26:E27" xr:uid="{000800BA-009A-414F-B795-00F900CA00D9}">
      <formula1>"Chemical Oxygen Demand (COD), Biological Oxygen Demand (BOD5)"</formula1>
    </dataValidation>
    <dataValidation type="list" allowBlank="1" showInputMessage="1" showErrorMessage="1" sqref="E24:E25" xr:uid="{004D00C7-00D6-4042-8C36-009F00AD0037}">
      <formula1>"WATER, KCL, CACl2, NA"</formula1>
    </dataValidation>
    <dataValidation type="list" allowBlank="1" showInputMessage="1" showErrorMessage="1" sqref="E6" xr:uid="{00B6007F-0049-48EC-8C2C-0068002F00C6}">
      <formula1>"sludge age, sludge retention time"</formula1>
    </dataValidation>
    <dataValidation type="list" allowBlank="1" showInputMessage="1" showErrorMessage="1" sqref="F53" xr:uid="{00960081-006C-47BC-8831-001F00EB0041}">
      <formula1>"Sludge, Soil, Sediment, Not specified"</formula1>
    </dataValidation>
    <dataValidation type="list" allowBlank="1" showInputMessage="1" showErrorMessage="1" sqref="F42:F44" xr:uid="{004C008D-0012-4C15-99DB-0057007A0036}">
      <formula1>"MeOH, EtOH, H2O, DMSO, acetone"</formula1>
    </dataValidation>
    <dataValidation type="list" allowBlank="1" showInputMessage="1" showErrorMessage="1" sqref="F41" xr:uid="{00C9004E-0048-4E03-B9BA-0081002C00BF}">
      <formula1>"spiking in solvent, plating, other"</formula1>
    </dataValidation>
    <dataValidation type="list" allowBlank="1" showInputMessage="1" showErrorMessage="1" sqref="F39" xr:uid="{0040001B-00E9-40FF-B865-006A00B60078}">
      <formula1>"NH4+, NH4-, NH4-N, NO3-, NO2-, Ntot, PO43-, P-tot, DOC, none"</formula1>
    </dataValidation>
    <dataValidation type="list" allowBlank="1" showInputMessage="1" showErrorMessage="1" sqref="F21" xr:uid="{00DD0027-0071-4FA6-8F97-00F0003A00D5}">
      <formula1>"stirring, shaking, bubbling air, bubbling air and stirring, other"</formula1>
    </dataValidation>
    <dataValidation type="list" allowBlank="1" showInputMessage="1" showErrorMessage="1" sqref="F20" xr:uid="{0050004C-00F0-4491-9B7C-0062007F00EB}">
      <formula1>"aerob, oxic, nitrate-reducing, anaerob, anaerob: iron-reducing, anaerob: methanogenic conditions, anaerob: sulfate-reducing"</formula1>
    </dataValidation>
    <dataValidation type="list" allowBlank="1" showInputMessage="1" showErrorMessage="1" sqref="F4" xr:uid="{008E00E9-009F-4C16-A56A-005100CD001C}">
      <formula1>"nitrification, nitrification &amp; denitrification, nitrification &amp; denitrification &amp; biological phosphorous removal, nitrification &amp; denitrification &amp; chemical phosphorous removal, other"</formula1>
    </dataValidation>
    <dataValidation type="list" allowBlank="1" showInputMessage="1" showErrorMessage="1" sqref="F3" xr:uid="{00120095-000D-4E3D-B3EF-00F200530055}">
      <formula1>"municipal WW, industrial WW, hospital WW, mixed WW (municipal &amp; industrial), other"</formula1>
    </dataValidation>
  </dataValidation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J36"/>
  <sheetViews>
    <sheetView zoomScale="60" workbookViewId="0">
      <selection activeCell="B4" sqref="B4"/>
    </sheetView>
  </sheetViews>
  <sheetFormatPr defaultRowHeight="14.5" x14ac:dyDescent="0.35"/>
  <cols>
    <col min="1" max="1" width="21.90625" customWidth="1"/>
    <col min="2" max="2" width="42.54296875" customWidth="1"/>
    <col min="3" max="3" width="42.36328125" customWidth="1"/>
    <col min="4" max="4" width="50.54296875" customWidth="1"/>
    <col min="5" max="5" width="24.453125" customWidth="1"/>
    <col min="6" max="6" width="25.36328125" customWidth="1"/>
    <col min="7" max="7" width="24.08984375" customWidth="1"/>
    <col min="8" max="8" width="17.453125" customWidth="1"/>
    <col min="9" max="9" width="12.6328125" customWidth="1"/>
    <col min="11" max="11" width="25.453125" customWidth="1"/>
  </cols>
  <sheetData>
    <row r="1" spans="1:10" x14ac:dyDescent="0.35">
      <c r="A1" s="17" t="s">
        <v>23</v>
      </c>
      <c r="B1" s="17" t="s">
        <v>1</v>
      </c>
      <c r="C1" s="37" t="s">
        <v>93</v>
      </c>
      <c r="D1" s="38" t="s">
        <v>25</v>
      </c>
      <c r="E1" s="38" t="s">
        <v>9</v>
      </c>
      <c r="F1" s="38" t="s">
        <v>26</v>
      </c>
      <c r="G1" s="38" t="s">
        <v>27</v>
      </c>
      <c r="H1" s="38" t="s">
        <v>28</v>
      </c>
      <c r="I1" s="39" t="s">
        <v>22</v>
      </c>
    </row>
    <row r="2" spans="1:10" ht="14.4" customHeight="1" x14ac:dyDescent="0.35">
      <c r="A2" s="18" t="s">
        <v>10</v>
      </c>
      <c r="B2" s="40" t="str">
        <f>Description!B5</f>
        <v>e.g. Geng &amp; Helbling, 2026</v>
      </c>
      <c r="C2" s="58" t="s">
        <v>94</v>
      </c>
      <c r="D2" s="19" t="s">
        <v>95</v>
      </c>
      <c r="E2" s="20"/>
      <c r="F2" s="31"/>
      <c r="G2" s="20"/>
      <c r="H2" s="22"/>
      <c r="I2" s="23"/>
    </row>
    <row r="3" spans="1:10" ht="14.4" customHeight="1" x14ac:dyDescent="0.35">
      <c r="A3" s="18" t="s">
        <v>31</v>
      </c>
      <c r="B3" s="40">
        <f>Description!B3</f>
        <v>0</v>
      </c>
      <c r="C3" s="59"/>
      <c r="D3" s="24" t="s">
        <v>96</v>
      </c>
      <c r="E3" s="25"/>
      <c r="F3" s="26"/>
      <c r="G3" s="25"/>
      <c r="H3" s="27"/>
      <c r="I3" s="28"/>
    </row>
    <row r="4" spans="1:10" ht="14.4" customHeight="1" x14ac:dyDescent="0.35">
      <c r="C4" s="59"/>
      <c r="D4" s="24" t="s">
        <v>97</v>
      </c>
      <c r="E4" t="s">
        <v>98</v>
      </c>
      <c r="F4" s="29"/>
      <c r="G4" t="s">
        <v>44</v>
      </c>
      <c r="H4" s="27"/>
      <c r="I4" s="28"/>
    </row>
    <row r="5" spans="1:10" ht="14.4" customHeight="1" x14ac:dyDescent="0.35">
      <c r="C5" s="59"/>
      <c r="D5" s="24" t="s">
        <v>97</v>
      </c>
      <c r="E5" t="s">
        <v>99</v>
      </c>
      <c r="F5" s="29"/>
      <c r="G5" t="s">
        <v>44</v>
      </c>
      <c r="H5" s="27"/>
      <c r="I5" s="28"/>
    </row>
    <row r="6" spans="1:10" ht="14.4" customHeight="1" x14ac:dyDescent="0.35">
      <c r="C6" s="59"/>
      <c r="D6" s="24" t="s">
        <v>97</v>
      </c>
      <c r="E6" t="s">
        <v>100</v>
      </c>
      <c r="F6" s="29"/>
      <c r="G6" t="s">
        <v>44</v>
      </c>
      <c r="H6" s="27"/>
      <c r="I6" s="28"/>
    </row>
    <row r="7" spans="1:10" ht="14.4" customHeight="1" x14ac:dyDescent="0.35">
      <c r="C7" s="60"/>
      <c r="D7" s="24" t="s">
        <v>101</v>
      </c>
      <c r="E7" s="25"/>
      <c r="F7" s="26"/>
      <c r="G7" s="25"/>
      <c r="H7" s="27"/>
      <c r="I7" s="28"/>
    </row>
    <row r="8" spans="1:10" ht="14.4" customHeight="1" x14ac:dyDescent="0.35">
      <c r="C8" s="58" t="s">
        <v>102</v>
      </c>
      <c r="D8" s="19" t="s">
        <v>55</v>
      </c>
      <c r="E8" s="20"/>
      <c r="F8" s="41"/>
      <c r="G8" s="20"/>
      <c r="H8" s="22"/>
      <c r="I8" s="23"/>
    </row>
    <row r="9" spans="1:10" ht="14.4" customHeight="1" x14ac:dyDescent="0.35">
      <c r="C9" s="59"/>
      <c r="D9" s="24" t="s">
        <v>61</v>
      </c>
      <c r="E9" s="26"/>
      <c r="F9" s="29"/>
      <c r="G9" s="25" t="s">
        <v>62</v>
      </c>
      <c r="H9" s="28" t="s">
        <v>45</v>
      </c>
      <c r="I9" s="28"/>
      <c r="J9" s="42"/>
    </row>
    <row r="10" spans="1:10" ht="14.4" customHeight="1" x14ac:dyDescent="0.35">
      <c r="C10" s="59"/>
      <c r="D10" s="24" t="s">
        <v>61</v>
      </c>
      <c r="E10" s="26"/>
      <c r="F10" s="29"/>
      <c r="G10" s="25" t="s">
        <v>62</v>
      </c>
      <c r="H10" s="28" t="s">
        <v>46</v>
      </c>
      <c r="I10" s="28"/>
    </row>
    <row r="11" spans="1:10" ht="14.4" customHeight="1" x14ac:dyDescent="0.35">
      <c r="C11" s="59"/>
      <c r="D11" s="24" t="s">
        <v>57</v>
      </c>
      <c r="E11" s="25"/>
      <c r="F11" s="29"/>
      <c r="G11" t="s">
        <v>58</v>
      </c>
      <c r="H11" s="28" t="s">
        <v>59</v>
      </c>
      <c r="I11" s="28"/>
    </row>
    <row r="12" spans="1:10" ht="14.4" customHeight="1" x14ac:dyDescent="0.35">
      <c r="C12" s="59"/>
      <c r="D12" s="24" t="s">
        <v>57</v>
      </c>
      <c r="E12" s="25"/>
      <c r="F12" s="29"/>
      <c r="G12" t="s">
        <v>58</v>
      </c>
      <c r="H12" s="28" t="s">
        <v>60</v>
      </c>
      <c r="I12" s="28"/>
    </row>
    <row r="13" spans="1:10" ht="14.4" customHeight="1" x14ac:dyDescent="0.35">
      <c r="C13" s="59"/>
      <c r="D13" s="24" t="s">
        <v>103</v>
      </c>
      <c r="E13" s="25"/>
      <c r="F13" s="29"/>
      <c r="G13" t="s">
        <v>44</v>
      </c>
      <c r="H13" s="27"/>
      <c r="I13" s="28"/>
    </row>
    <row r="14" spans="1:10" ht="14.4" customHeight="1" x14ac:dyDescent="0.35">
      <c r="C14" s="59"/>
      <c r="D14" s="24" t="s">
        <v>103</v>
      </c>
      <c r="E14" t="s">
        <v>104</v>
      </c>
      <c r="F14" s="29"/>
      <c r="G14" s="25"/>
      <c r="H14" s="27"/>
      <c r="I14" s="28"/>
    </row>
    <row r="15" spans="1:10" ht="14.4" customHeight="1" x14ac:dyDescent="0.35">
      <c r="C15" s="59"/>
      <c r="D15" s="24" t="s">
        <v>105</v>
      </c>
      <c r="E15" s="26"/>
      <c r="F15" s="29"/>
      <c r="G15" t="s">
        <v>106</v>
      </c>
      <c r="H15" s="43"/>
      <c r="I15" s="28"/>
    </row>
    <row r="16" spans="1:10" ht="14.4" customHeight="1" x14ac:dyDescent="0.35">
      <c r="C16" s="59"/>
      <c r="D16" s="24" t="s">
        <v>105</v>
      </c>
      <c r="E16" s="26"/>
      <c r="F16" s="29"/>
      <c r="G16" t="s">
        <v>106</v>
      </c>
      <c r="H16" s="43"/>
      <c r="I16" s="28"/>
    </row>
    <row r="17" spans="3:9" ht="14.4" customHeight="1" x14ac:dyDescent="0.35">
      <c r="C17" s="59"/>
      <c r="D17" s="24" t="s">
        <v>42</v>
      </c>
      <c r="E17" s="25"/>
      <c r="F17" s="29"/>
      <c r="G17" s="30"/>
      <c r="H17" s="27"/>
      <c r="I17" s="28"/>
    </row>
    <row r="18" spans="3:9" ht="14.4" customHeight="1" x14ac:dyDescent="0.35">
      <c r="C18" s="59"/>
      <c r="D18" s="24" t="s">
        <v>42</v>
      </c>
      <c r="E18" t="s">
        <v>43</v>
      </c>
      <c r="F18" s="29"/>
      <c r="G18" t="s">
        <v>44</v>
      </c>
      <c r="H18" s="28" t="s">
        <v>45</v>
      </c>
      <c r="I18" s="28"/>
    </row>
    <row r="19" spans="3:9" ht="14.4" customHeight="1" x14ac:dyDescent="0.35">
      <c r="C19" s="59"/>
      <c r="D19" s="24" t="s">
        <v>42</v>
      </c>
      <c r="E19" t="s">
        <v>43</v>
      </c>
      <c r="F19" s="29"/>
      <c r="G19" t="s">
        <v>44</v>
      </c>
      <c r="H19" s="28" t="s">
        <v>46</v>
      </c>
      <c r="I19" s="28"/>
    </row>
    <row r="20" spans="3:9" ht="14.4" customHeight="1" x14ac:dyDescent="0.35">
      <c r="C20" s="59"/>
      <c r="D20" s="24" t="s">
        <v>42</v>
      </c>
      <c r="E20" t="s">
        <v>47</v>
      </c>
      <c r="F20" s="29"/>
      <c r="G20" t="s">
        <v>44</v>
      </c>
      <c r="H20" s="28" t="s">
        <v>45</v>
      </c>
      <c r="I20" s="28"/>
    </row>
    <row r="21" spans="3:9" ht="14.4" customHeight="1" x14ac:dyDescent="0.35">
      <c r="C21" s="59"/>
      <c r="D21" s="24" t="s">
        <v>42</v>
      </c>
      <c r="E21" t="s">
        <v>47</v>
      </c>
      <c r="F21" s="29"/>
      <c r="G21" t="s">
        <v>44</v>
      </c>
      <c r="H21" s="28" t="s">
        <v>46</v>
      </c>
      <c r="I21" s="28"/>
    </row>
    <row r="22" spans="3:9" ht="14.4" customHeight="1" x14ac:dyDescent="0.35">
      <c r="C22" s="59"/>
      <c r="D22" s="24" t="s">
        <v>48</v>
      </c>
      <c r="E22" s="25"/>
      <c r="F22" s="29"/>
      <c r="G22" t="s">
        <v>49</v>
      </c>
      <c r="H22" s="27"/>
      <c r="I22" s="28"/>
    </row>
    <row r="23" spans="3:9" ht="14.4" customHeight="1" x14ac:dyDescent="0.35">
      <c r="C23" s="59"/>
      <c r="D23" s="24" t="s">
        <v>107</v>
      </c>
      <c r="E23" s="25"/>
      <c r="F23" s="29"/>
      <c r="G23" t="s">
        <v>108</v>
      </c>
      <c r="H23" s="27"/>
      <c r="I23" s="28"/>
    </row>
    <row r="24" spans="3:9" ht="14.4" customHeight="1" x14ac:dyDescent="0.35">
      <c r="C24" s="59"/>
      <c r="D24" s="24" t="s">
        <v>109</v>
      </c>
      <c r="E24" s="25"/>
      <c r="F24" s="29"/>
      <c r="G24" t="s">
        <v>110</v>
      </c>
      <c r="H24" s="28" t="s">
        <v>52</v>
      </c>
      <c r="I24" s="28"/>
    </row>
    <row r="25" spans="3:9" ht="14.4" customHeight="1" x14ac:dyDescent="0.35">
      <c r="C25" s="60"/>
      <c r="D25" s="32" t="s">
        <v>109</v>
      </c>
      <c r="E25" s="33"/>
      <c r="F25" s="44"/>
      <c r="G25" s="45" t="s">
        <v>110</v>
      </c>
      <c r="H25" s="36" t="s">
        <v>53</v>
      </c>
      <c r="I25" s="36"/>
    </row>
    <row r="26" spans="3:9" ht="14.4" customHeight="1" x14ac:dyDescent="0.35">
      <c r="C26" s="58" t="s">
        <v>111</v>
      </c>
      <c r="D26" s="19" t="s">
        <v>112</v>
      </c>
      <c r="E26" s="11" t="s">
        <v>11</v>
      </c>
      <c r="F26" s="31"/>
      <c r="G26" s="20"/>
      <c r="H26" s="22"/>
      <c r="I26" s="23"/>
    </row>
    <row r="27" spans="3:9" ht="14.4" customHeight="1" x14ac:dyDescent="0.35">
      <c r="C27" s="60"/>
      <c r="D27" s="32" t="s">
        <v>113</v>
      </c>
      <c r="E27" s="33"/>
      <c r="F27" s="44"/>
      <c r="G27" s="34"/>
      <c r="H27" s="35"/>
      <c r="I27" s="36"/>
    </row>
    <row r="28" spans="3:9" ht="14.4" customHeight="1" x14ac:dyDescent="0.35">
      <c r="C28" s="58" t="s">
        <v>83</v>
      </c>
      <c r="D28" s="19" t="s">
        <v>162</v>
      </c>
      <c r="E28" s="33"/>
      <c r="F28" s="31"/>
      <c r="G28" s="20"/>
      <c r="H28" s="22"/>
      <c r="I28" s="23"/>
    </row>
    <row r="29" spans="3:9" ht="14.4" customHeight="1" x14ac:dyDescent="0.35">
      <c r="C29" s="59"/>
      <c r="D29" s="24" t="s">
        <v>84</v>
      </c>
      <c r="E29" t="s">
        <v>85</v>
      </c>
      <c r="F29" s="29"/>
      <c r="G29" s="25"/>
      <c r="H29" s="27"/>
      <c r="I29" s="28"/>
    </row>
    <row r="30" spans="3:9" ht="14.4" customHeight="1" x14ac:dyDescent="0.35">
      <c r="C30" s="59"/>
      <c r="D30" s="24" t="s">
        <v>86</v>
      </c>
      <c r="E30" s="30"/>
      <c r="F30" s="29"/>
      <c r="G30" s="25"/>
      <c r="H30" s="27"/>
      <c r="I30" s="28"/>
    </row>
    <row r="31" spans="3:9" ht="14.4" customHeight="1" x14ac:dyDescent="0.35">
      <c r="C31" s="59"/>
      <c r="D31" s="24" t="s">
        <v>87</v>
      </c>
      <c r="E31" s="25"/>
      <c r="F31" s="29"/>
      <c r="G31" s="25"/>
      <c r="H31" s="27"/>
      <c r="I31" s="28"/>
    </row>
    <row r="32" spans="3:9" ht="14.4" customHeight="1" x14ac:dyDescent="0.35">
      <c r="C32" s="59"/>
      <c r="D32" s="24" t="s">
        <v>88</v>
      </c>
      <c r="E32" s="25"/>
      <c r="F32" s="29"/>
      <c r="G32" t="s">
        <v>89</v>
      </c>
      <c r="H32" s="28" t="s">
        <v>52</v>
      </c>
      <c r="I32" s="28"/>
    </row>
    <row r="33" spans="3:9" ht="14.4" customHeight="1" x14ac:dyDescent="0.35">
      <c r="C33" s="59"/>
      <c r="D33" s="24" t="s">
        <v>88</v>
      </c>
      <c r="E33" s="25"/>
      <c r="F33" s="29"/>
      <c r="G33" t="s">
        <v>89</v>
      </c>
      <c r="H33" s="28" t="s">
        <v>53</v>
      </c>
      <c r="I33" s="28"/>
    </row>
    <row r="34" spans="3:9" ht="15.65" customHeight="1" x14ac:dyDescent="0.35">
      <c r="C34" s="59"/>
      <c r="D34" s="24" t="s">
        <v>90</v>
      </c>
      <c r="E34" s="25"/>
      <c r="F34" s="29"/>
      <c r="G34" t="s">
        <v>89</v>
      </c>
      <c r="H34" s="28" t="s">
        <v>52</v>
      </c>
      <c r="I34" s="28"/>
    </row>
    <row r="35" spans="3:9" ht="15.65" customHeight="1" x14ac:dyDescent="0.35">
      <c r="C35" s="59"/>
      <c r="D35" s="24" t="s">
        <v>90</v>
      </c>
      <c r="E35" s="25"/>
      <c r="F35" s="29"/>
      <c r="G35" t="s">
        <v>89</v>
      </c>
      <c r="H35" s="28" t="s">
        <v>53</v>
      </c>
      <c r="I35" s="28"/>
    </row>
    <row r="36" spans="3:9" ht="15.65" customHeight="1" x14ac:dyDescent="0.35">
      <c r="C36" s="60"/>
      <c r="D36" s="32" t="s">
        <v>91</v>
      </c>
      <c r="E36" s="33"/>
      <c r="F36" s="34" t="s">
        <v>114</v>
      </c>
      <c r="G36" s="33"/>
      <c r="H36" s="35"/>
      <c r="I36" s="36"/>
    </row>
  </sheetData>
  <mergeCells count="4">
    <mergeCell ref="C2:C7"/>
    <mergeCell ref="C8:C25"/>
    <mergeCell ref="C26:C27"/>
    <mergeCell ref="C28:C36"/>
  </mergeCells>
  <dataValidations count="10">
    <dataValidation type="list" allowBlank="1" showInputMessage="1" showErrorMessage="1" sqref="E30" xr:uid="{00E100CB-00CB-44F6-9785-00A300850048}">
      <formula1>"PubMed ID, DOI, other"</formula1>
    </dataValidation>
    <dataValidation type="list" allowBlank="1" showInputMessage="1" showErrorMessage="1" sqref="G17" xr:uid="{003A002B-002E-471E-9F71-00E2002E004A}">
      <formula1>"mg/L, %"</formula1>
    </dataValidation>
    <dataValidation type="list" allowBlank="1" showInputMessage="1" showErrorMessage="1" sqref="E9:E10" xr:uid="{007000A0-0043-4C1B-A63F-005A007C00FC}">
      <formula1>"WATER, KCL, CACl2, NA"</formula1>
    </dataValidation>
    <dataValidation type="list" allowBlank="1" showInputMessage="1" showErrorMessage="1" sqref="F36" xr:uid="{00E800E5-0059-4DA0-89C7-00C400920096}">
      <formula1>"Sludge, Soil, Sediment, Not specified"</formula1>
    </dataValidation>
    <dataValidation type="list" allowBlank="1" showInputMessage="1" showErrorMessage="1" sqref="H15:H16" xr:uid="{009E00B6-00A2-4B54-8CB0-00D6008900DE}">
      <formula1>"0 water bar = pF0, 0.01 bar = pF1.0, 0.03 bar = pF1.5, 0.06 bar = pF1.8, 0.1 bar = pF2.0, 0.2 bar = pF 2.3, 1/3 bar = pF2.5, 0.5 bar = pF2.7, 1.0 bar = pF3.0, 2.5 bar = pF3.4, 15 bar = pF4.2"</formula1>
    </dataValidation>
    <dataValidation type="list" allowBlank="1" showInputMessage="1" showErrorMessage="1" sqref="E15:E16" xr:uid="{00C20028-00A4-4FC6-88DF-0079009800D0}">
      <formula1>"water hold capacity, maximum water storage capacity"</formula1>
    </dataValidation>
    <dataValidation type="list" allowBlank="1" showInputMessage="1" showErrorMessage="1" sqref="F7" xr:uid="{005C00AB-0074-43C5-B5FC-00D400820020}">
      <formula1>"USDA, UK_ADAS, UK, DE, International"</formula1>
    </dataValidation>
    <dataValidation type="list" allowBlank="1" showInputMessage="1" showErrorMessage="1" sqref="F3" xr:uid="{00A7008F-0015-43C9-A529-002F006F0007}">
      <formula1>"clay, sandy clay, silty clay, sandy clay loam, sandy loam, silty clay loam, sand, loamy sand, loam, silt loam, silt, clay loam, silty sand, sandy silt loam"</formula1>
    </dataValidation>
    <dataValidation type="list" allowBlank="1" showInputMessage="1" showErrorMessage="1" sqref="G27" xr:uid="{00D70090-0032-4907-8C74-007C0065009E}">
      <formula1>"µg/L, µg/kg wet soil, µg/kg dry soil, mg/L, mg/kg wet soil, mg/kg dry soil, ppm"</formula1>
    </dataValidation>
    <dataValidation type="list" allowBlank="1" showInputMessage="1" showErrorMessage="1" sqref="F8" xr:uid="{00CD0053-00EE-4EAD-8E62-00C5000900CA}">
      <formula1>"aerob, oxic, nitrate-reducing, anaerob, anaerob: iron-reducing, anaerob: methanogenic conditions, anaerob: sulfate-reducing"</formula1>
    </dataValidation>
  </dataValidations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61"/>
  <sheetViews>
    <sheetView zoomScale="60" workbookViewId="0">
      <selection activeCell="B4" sqref="B4"/>
    </sheetView>
  </sheetViews>
  <sheetFormatPr defaultRowHeight="14.5" x14ac:dyDescent="0.35"/>
  <cols>
    <col min="1" max="1" width="20.81640625" customWidth="1"/>
    <col min="2" max="2" width="34" customWidth="1"/>
    <col min="3" max="3" width="50.36328125" customWidth="1"/>
    <col min="4" max="4" width="36" customWidth="1"/>
    <col min="5" max="5" width="35.1796875" customWidth="1"/>
    <col min="6" max="6" width="12.08984375" customWidth="1"/>
    <col min="7" max="7" width="16.54296875" customWidth="1"/>
    <col min="8" max="8" width="14.6328125" customWidth="1"/>
    <col min="9" max="9" width="13" customWidth="1"/>
  </cols>
  <sheetData>
    <row r="1" spans="1:9" x14ac:dyDescent="0.35">
      <c r="A1" s="17" t="s">
        <v>23</v>
      </c>
      <c r="B1" s="17" t="s">
        <v>1</v>
      </c>
      <c r="C1" s="37" t="s">
        <v>115</v>
      </c>
      <c r="D1" s="38" t="s">
        <v>25</v>
      </c>
      <c r="E1" s="38" t="s">
        <v>9</v>
      </c>
      <c r="F1" s="38" t="s">
        <v>26</v>
      </c>
      <c r="G1" s="38" t="s">
        <v>27</v>
      </c>
      <c r="H1" s="38" t="s">
        <v>28</v>
      </c>
      <c r="I1" s="39" t="s">
        <v>22</v>
      </c>
    </row>
    <row r="2" spans="1:9" ht="14.4" customHeight="1" x14ac:dyDescent="0.35">
      <c r="A2" s="18" t="s">
        <v>10</v>
      </c>
      <c r="B2" s="40" t="str">
        <f>Description!B5</f>
        <v>e.g. Geng &amp; Helbling, 2026</v>
      </c>
      <c r="C2" s="58" t="s">
        <v>116</v>
      </c>
      <c r="D2" s="19" t="s">
        <v>117</v>
      </c>
      <c r="E2" s="20"/>
      <c r="F2" s="31"/>
      <c r="G2" s="20"/>
      <c r="H2" s="22"/>
      <c r="I2" s="23"/>
    </row>
    <row r="3" spans="1:9" ht="14.4" customHeight="1" x14ac:dyDescent="0.35">
      <c r="A3" s="18" t="s">
        <v>31</v>
      </c>
      <c r="B3" s="40">
        <f>Description!B3</f>
        <v>0</v>
      </c>
      <c r="C3" s="59"/>
      <c r="D3" s="24" t="s">
        <v>118</v>
      </c>
      <c r="E3" s="25"/>
      <c r="F3" s="29"/>
      <c r="G3" t="s">
        <v>119</v>
      </c>
      <c r="H3" s="28" t="s">
        <v>59</v>
      </c>
      <c r="I3" s="28"/>
    </row>
    <row r="4" spans="1:9" ht="14.4" customHeight="1" x14ac:dyDescent="0.35">
      <c r="C4" s="59"/>
      <c r="D4" s="24" t="s">
        <v>118</v>
      </c>
      <c r="E4" s="25"/>
      <c r="F4" s="29"/>
      <c r="G4" t="s">
        <v>119</v>
      </c>
      <c r="H4" s="28" t="s">
        <v>60</v>
      </c>
      <c r="I4" s="28"/>
    </row>
    <row r="5" spans="1:9" ht="14.4" customHeight="1" x14ac:dyDescent="0.35">
      <c r="C5" s="59"/>
      <c r="D5" s="24" t="s">
        <v>95</v>
      </c>
      <c r="E5" s="20"/>
      <c r="F5" s="29"/>
      <c r="G5" s="20"/>
      <c r="H5" s="22"/>
      <c r="I5" s="28"/>
    </row>
    <row r="6" spans="1:9" ht="14.4" customHeight="1" x14ac:dyDescent="0.35">
      <c r="C6" s="59"/>
      <c r="D6" s="24" t="s">
        <v>96</v>
      </c>
      <c r="E6" s="25"/>
      <c r="F6" s="26"/>
      <c r="G6" s="25"/>
      <c r="H6" s="27"/>
      <c r="I6" s="28"/>
    </row>
    <row r="7" spans="1:9" ht="14.4" customHeight="1" x14ac:dyDescent="0.35">
      <c r="C7" s="59"/>
      <c r="D7" s="24" t="s">
        <v>97</v>
      </c>
      <c r="E7" t="s">
        <v>98</v>
      </c>
      <c r="F7" s="29"/>
      <c r="G7" t="s">
        <v>44</v>
      </c>
      <c r="H7" s="27"/>
      <c r="I7" s="28"/>
    </row>
    <row r="8" spans="1:9" ht="14.4" customHeight="1" x14ac:dyDescent="0.35">
      <c r="C8" s="59"/>
      <c r="D8" s="24" t="s">
        <v>97</v>
      </c>
      <c r="E8" t="s">
        <v>99</v>
      </c>
      <c r="F8" s="29"/>
      <c r="G8" t="s">
        <v>44</v>
      </c>
      <c r="H8" s="27"/>
      <c r="I8" s="28"/>
    </row>
    <row r="9" spans="1:9" ht="14.4" customHeight="1" x14ac:dyDescent="0.35">
      <c r="C9" s="59"/>
      <c r="D9" s="24" t="s">
        <v>97</v>
      </c>
      <c r="E9" t="s">
        <v>100</v>
      </c>
      <c r="F9" s="29"/>
      <c r="G9" t="s">
        <v>44</v>
      </c>
      <c r="H9" s="27"/>
      <c r="I9" s="28"/>
    </row>
    <row r="10" spans="1:9" ht="14.4" customHeight="1" x14ac:dyDescent="0.35">
      <c r="C10" s="59"/>
      <c r="D10" s="24" t="s">
        <v>101</v>
      </c>
      <c r="E10" s="25"/>
      <c r="F10" s="26"/>
      <c r="G10" s="25"/>
      <c r="H10" s="27"/>
      <c r="I10" s="28"/>
    </row>
    <row r="11" spans="1:9" ht="14.4" customHeight="1" x14ac:dyDescent="0.35">
      <c r="C11" s="60"/>
      <c r="D11" s="32" t="s">
        <v>120</v>
      </c>
      <c r="E11" s="33"/>
      <c r="F11" s="44"/>
      <c r="G11" s="33"/>
      <c r="H11" s="35"/>
      <c r="I11" s="36"/>
    </row>
    <row r="12" spans="1:9" ht="14.4" customHeight="1" x14ac:dyDescent="0.35">
      <c r="C12" s="58" t="s">
        <v>102</v>
      </c>
      <c r="D12" s="19" t="s">
        <v>121</v>
      </c>
      <c r="E12" s="11" t="s">
        <v>122</v>
      </c>
      <c r="F12" s="31"/>
      <c r="G12" s="11" t="s">
        <v>119</v>
      </c>
      <c r="H12" s="22"/>
      <c r="I12" s="28"/>
    </row>
    <row r="13" spans="1:9" ht="14.4" customHeight="1" x14ac:dyDescent="0.35">
      <c r="C13" s="59"/>
      <c r="D13" s="24" t="s">
        <v>121</v>
      </c>
      <c r="E13" t="s">
        <v>123</v>
      </c>
      <c r="F13" s="29"/>
      <c r="G13" t="s">
        <v>119</v>
      </c>
      <c r="H13" s="27"/>
      <c r="I13" s="28"/>
    </row>
    <row r="14" spans="1:9" ht="14.4" customHeight="1" x14ac:dyDescent="0.35">
      <c r="C14" s="59"/>
      <c r="D14" s="24" t="s">
        <v>124</v>
      </c>
      <c r="E14" t="s">
        <v>123</v>
      </c>
      <c r="F14" s="29"/>
      <c r="G14" t="s">
        <v>64</v>
      </c>
      <c r="H14" s="28" t="s">
        <v>45</v>
      </c>
      <c r="I14" s="28"/>
    </row>
    <row r="15" spans="1:9" ht="14.4" customHeight="1" x14ac:dyDescent="0.35">
      <c r="C15" s="59"/>
      <c r="D15" s="24" t="s">
        <v>124</v>
      </c>
      <c r="E15" t="s">
        <v>123</v>
      </c>
      <c r="F15" s="29"/>
      <c r="G15" t="s">
        <v>64</v>
      </c>
      <c r="H15" s="28" t="s">
        <v>46</v>
      </c>
      <c r="I15" s="28"/>
    </row>
    <row r="16" spans="1:9" ht="14.4" customHeight="1" x14ac:dyDescent="0.35">
      <c r="C16" s="59"/>
      <c r="D16" s="24" t="s">
        <v>124</v>
      </c>
      <c r="E16" t="s">
        <v>122</v>
      </c>
      <c r="F16" s="29"/>
      <c r="G16" t="s">
        <v>64</v>
      </c>
      <c r="H16" s="28" t="s">
        <v>45</v>
      </c>
      <c r="I16" s="28"/>
    </row>
    <row r="17" spans="3:9" ht="14.4" customHeight="1" x14ac:dyDescent="0.35">
      <c r="C17" s="59"/>
      <c r="D17" s="24" t="s">
        <v>124</v>
      </c>
      <c r="E17" t="s">
        <v>122</v>
      </c>
      <c r="F17" s="29"/>
      <c r="G17" t="s">
        <v>64</v>
      </c>
      <c r="H17" s="28" t="s">
        <v>46</v>
      </c>
      <c r="I17" s="28"/>
    </row>
    <row r="18" spans="3:9" ht="14.4" customHeight="1" x14ac:dyDescent="0.35">
      <c r="C18" s="59"/>
      <c r="D18" s="24" t="s">
        <v>125</v>
      </c>
      <c r="E18" t="s">
        <v>123</v>
      </c>
      <c r="F18" s="29"/>
      <c r="G18" t="s">
        <v>126</v>
      </c>
      <c r="H18" s="28" t="s">
        <v>45</v>
      </c>
      <c r="I18" s="28"/>
    </row>
    <row r="19" spans="3:9" ht="14.4" customHeight="1" x14ac:dyDescent="0.35">
      <c r="C19" s="59"/>
      <c r="D19" s="24" t="s">
        <v>125</v>
      </c>
      <c r="E19" t="s">
        <v>123</v>
      </c>
      <c r="F19" s="29"/>
      <c r="G19" t="s">
        <v>126</v>
      </c>
      <c r="H19" s="28" t="s">
        <v>46</v>
      </c>
      <c r="I19" s="28"/>
    </row>
    <row r="20" spans="3:9" ht="14.4" customHeight="1" x14ac:dyDescent="0.35">
      <c r="C20" s="59"/>
      <c r="D20" s="24" t="s">
        <v>125</v>
      </c>
      <c r="E20" t="s">
        <v>122</v>
      </c>
      <c r="F20" s="29"/>
      <c r="G20" t="s">
        <v>126</v>
      </c>
      <c r="H20" s="28" t="s">
        <v>45</v>
      </c>
      <c r="I20" s="28"/>
    </row>
    <row r="21" spans="3:9" ht="14.4" customHeight="1" x14ac:dyDescent="0.35">
      <c r="C21" s="59"/>
      <c r="D21" s="24" t="s">
        <v>125</v>
      </c>
      <c r="E21" t="s">
        <v>122</v>
      </c>
      <c r="F21" s="29"/>
      <c r="G21" t="s">
        <v>126</v>
      </c>
      <c r="H21" s="28" t="s">
        <v>46</v>
      </c>
      <c r="I21" s="28"/>
    </row>
    <row r="22" spans="3:9" ht="14.4" customHeight="1" x14ac:dyDescent="0.35">
      <c r="C22" s="59"/>
      <c r="D22" s="24" t="s">
        <v>127</v>
      </c>
      <c r="E22" s="26"/>
      <c r="F22" s="29"/>
      <c r="G22" s="25" t="s">
        <v>62</v>
      </c>
      <c r="H22" s="28" t="s">
        <v>45</v>
      </c>
      <c r="I22" s="28"/>
    </row>
    <row r="23" spans="3:9" ht="14.4" customHeight="1" x14ac:dyDescent="0.35">
      <c r="C23" s="59"/>
      <c r="D23" s="24" t="s">
        <v>127</v>
      </c>
      <c r="E23" s="26"/>
      <c r="F23" s="29"/>
      <c r="G23" s="25" t="s">
        <v>62</v>
      </c>
      <c r="H23" s="28" t="s">
        <v>46</v>
      </c>
      <c r="I23" s="28"/>
    </row>
    <row r="24" spans="3:9" ht="14.4" customHeight="1" x14ac:dyDescent="0.35">
      <c r="C24" s="59"/>
      <c r="D24" s="24" t="s">
        <v>128</v>
      </c>
      <c r="E24" s="26"/>
      <c r="F24" s="29"/>
      <c r="G24" s="25" t="s">
        <v>62</v>
      </c>
      <c r="H24" s="28" t="s">
        <v>45</v>
      </c>
      <c r="I24" s="28"/>
    </row>
    <row r="25" spans="3:9" ht="14.4" customHeight="1" x14ac:dyDescent="0.35">
      <c r="C25" s="59"/>
      <c r="D25" s="24" t="s">
        <v>128</v>
      </c>
      <c r="E25" s="26"/>
      <c r="F25" s="29"/>
      <c r="G25" s="25" t="s">
        <v>62</v>
      </c>
      <c r="H25" s="28" t="s">
        <v>46</v>
      </c>
      <c r="I25" s="28"/>
    </row>
    <row r="26" spans="3:9" ht="14.4" customHeight="1" x14ac:dyDescent="0.35">
      <c r="C26" s="59"/>
      <c r="D26" s="24" t="s">
        <v>57</v>
      </c>
      <c r="E26" s="25"/>
      <c r="F26" s="29"/>
      <c r="G26" t="s">
        <v>58</v>
      </c>
      <c r="H26" s="28" t="s">
        <v>59</v>
      </c>
      <c r="I26" s="28"/>
    </row>
    <row r="27" spans="3:9" ht="14.4" customHeight="1" x14ac:dyDescent="0.35">
      <c r="C27" s="59"/>
      <c r="D27" s="24" t="s">
        <v>57</v>
      </c>
      <c r="E27" s="25"/>
      <c r="F27" s="29"/>
      <c r="G27" t="s">
        <v>58</v>
      </c>
      <c r="H27" s="28" t="s">
        <v>60</v>
      </c>
      <c r="I27" s="28"/>
    </row>
    <row r="28" spans="3:9" ht="14.4" customHeight="1" x14ac:dyDescent="0.35">
      <c r="C28" s="59"/>
      <c r="D28" s="24" t="s">
        <v>48</v>
      </c>
      <c r="E28" s="25"/>
      <c r="F28" s="29"/>
      <c r="G28" t="s">
        <v>49</v>
      </c>
      <c r="H28" s="27"/>
      <c r="I28" s="28"/>
    </row>
    <row r="29" spans="3:9" ht="14.4" customHeight="1" x14ac:dyDescent="0.35">
      <c r="C29" s="59"/>
      <c r="D29" s="24" t="s">
        <v>42</v>
      </c>
      <c r="E29" s="25"/>
      <c r="F29" s="29"/>
      <c r="G29" s="30"/>
      <c r="H29" s="27"/>
      <c r="I29" s="28"/>
    </row>
    <row r="30" spans="3:9" ht="14.4" customHeight="1" x14ac:dyDescent="0.35">
      <c r="C30" s="59"/>
      <c r="D30" s="24" t="s">
        <v>42</v>
      </c>
      <c r="E30" t="s">
        <v>43</v>
      </c>
      <c r="F30" s="29"/>
      <c r="G30" t="s">
        <v>44</v>
      </c>
      <c r="H30" s="28" t="s">
        <v>45</v>
      </c>
      <c r="I30" s="28"/>
    </row>
    <row r="31" spans="3:9" ht="14.4" customHeight="1" x14ac:dyDescent="0.35">
      <c r="C31" s="59"/>
      <c r="D31" s="24" t="s">
        <v>42</v>
      </c>
      <c r="E31" t="s">
        <v>43</v>
      </c>
      <c r="F31" s="29"/>
      <c r="G31" t="s">
        <v>44</v>
      </c>
      <c r="H31" s="28" t="s">
        <v>46</v>
      </c>
      <c r="I31" s="28"/>
    </row>
    <row r="32" spans="3:9" ht="14.4" customHeight="1" x14ac:dyDescent="0.35">
      <c r="C32" s="59"/>
      <c r="D32" s="24" t="s">
        <v>42</v>
      </c>
      <c r="E32" t="s">
        <v>47</v>
      </c>
      <c r="F32" s="29"/>
      <c r="G32" t="s">
        <v>44</v>
      </c>
      <c r="H32" s="28" t="s">
        <v>45</v>
      </c>
      <c r="I32" s="28"/>
    </row>
    <row r="33" spans="3:9" ht="14.4" customHeight="1" x14ac:dyDescent="0.35">
      <c r="C33" s="59"/>
      <c r="D33" s="24" t="s">
        <v>42</v>
      </c>
      <c r="E33" t="s">
        <v>47</v>
      </c>
      <c r="F33" s="29"/>
      <c r="G33" t="s">
        <v>44</v>
      </c>
      <c r="H33" s="28" t="s">
        <v>46</v>
      </c>
      <c r="I33" s="28"/>
    </row>
    <row r="34" spans="3:9" ht="14.4" customHeight="1" x14ac:dyDescent="0.35">
      <c r="C34" s="59"/>
      <c r="D34" s="24" t="s">
        <v>129</v>
      </c>
      <c r="E34" s="25"/>
      <c r="F34" s="29"/>
      <c r="G34" t="s">
        <v>130</v>
      </c>
      <c r="H34" s="28" t="s">
        <v>52</v>
      </c>
      <c r="I34" s="28"/>
    </row>
    <row r="35" spans="3:9" ht="14.4" customHeight="1" x14ac:dyDescent="0.35">
      <c r="C35" s="59"/>
      <c r="D35" s="24" t="s">
        <v>129</v>
      </c>
      <c r="E35" s="25"/>
      <c r="F35" s="29"/>
      <c r="G35" t="s">
        <v>130</v>
      </c>
      <c r="H35" s="28" t="s">
        <v>53</v>
      </c>
      <c r="I35" s="28"/>
    </row>
    <row r="36" spans="3:9" ht="14.4" customHeight="1" x14ac:dyDescent="0.35">
      <c r="C36" s="59"/>
      <c r="D36" s="24" t="s">
        <v>131</v>
      </c>
      <c r="E36" s="25"/>
      <c r="F36" s="29"/>
      <c r="G36" t="s">
        <v>132</v>
      </c>
      <c r="H36" s="28" t="s">
        <v>52</v>
      </c>
      <c r="I36" s="28"/>
    </row>
    <row r="37" spans="3:9" ht="14.4" customHeight="1" x14ac:dyDescent="0.35">
      <c r="C37" s="59"/>
      <c r="D37" s="24" t="s">
        <v>131</v>
      </c>
      <c r="E37" s="25"/>
      <c r="F37" s="29"/>
      <c r="G37" t="s">
        <v>132</v>
      </c>
      <c r="H37" s="28" t="s">
        <v>53</v>
      </c>
      <c r="I37" s="28"/>
    </row>
    <row r="38" spans="3:9" ht="14.4" customHeight="1" x14ac:dyDescent="0.35">
      <c r="C38" s="59"/>
      <c r="D38" s="24" t="s">
        <v>131</v>
      </c>
      <c r="E38" s="25"/>
      <c r="F38" s="29"/>
      <c r="G38" t="s">
        <v>133</v>
      </c>
      <c r="H38" s="28" t="s">
        <v>52</v>
      </c>
      <c r="I38" s="28"/>
    </row>
    <row r="39" spans="3:9" ht="14.4" customHeight="1" x14ac:dyDescent="0.35">
      <c r="C39" s="59"/>
      <c r="D39" s="24" t="s">
        <v>131</v>
      </c>
      <c r="E39" s="25"/>
      <c r="F39" s="29"/>
      <c r="G39" t="s">
        <v>133</v>
      </c>
      <c r="H39" s="28" t="s">
        <v>53</v>
      </c>
      <c r="I39" s="28"/>
    </row>
    <row r="40" spans="3:9" ht="14.4" customHeight="1" x14ac:dyDescent="0.35">
      <c r="C40" s="59"/>
      <c r="D40" s="24" t="s">
        <v>134</v>
      </c>
      <c r="E40" t="s">
        <v>43</v>
      </c>
      <c r="F40" s="29"/>
      <c r="G40" t="s">
        <v>44</v>
      </c>
      <c r="H40" s="28" t="s">
        <v>59</v>
      </c>
      <c r="I40" s="28"/>
    </row>
    <row r="41" spans="3:9" ht="14.4" customHeight="1" x14ac:dyDescent="0.35">
      <c r="C41" s="59"/>
      <c r="D41" s="24" t="s">
        <v>134</v>
      </c>
      <c r="E41" t="s">
        <v>43</v>
      </c>
      <c r="F41" s="29"/>
      <c r="G41" t="s">
        <v>44</v>
      </c>
      <c r="H41" s="28" t="s">
        <v>60</v>
      </c>
      <c r="I41" s="28"/>
    </row>
    <row r="42" spans="3:9" ht="14.4" customHeight="1" x14ac:dyDescent="0.35">
      <c r="C42" s="59"/>
      <c r="D42" s="24" t="s">
        <v>134</v>
      </c>
      <c r="E42" t="s">
        <v>47</v>
      </c>
      <c r="F42" s="29"/>
      <c r="G42" t="s">
        <v>44</v>
      </c>
      <c r="H42" s="28" t="s">
        <v>59</v>
      </c>
      <c r="I42" s="28"/>
    </row>
    <row r="43" spans="3:9" ht="14.4" customHeight="1" x14ac:dyDescent="0.35">
      <c r="C43" s="59"/>
      <c r="D43" s="24" t="s">
        <v>134</v>
      </c>
      <c r="E43" t="s">
        <v>47</v>
      </c>
      <c r="F43" s="29"/>
      <c r="G43" t="s">
        <v>44</v>
      </c>
      <c r="H43" s="28" t="s">
        <v>60</v>
      </c>
      <c r="I43" s="28"/>
    </row>
    <row r="44" spans="3:9" ht="14.4" customHeight="1" x14ac:dyDescent="0.35">
      <c r="C44" s="59"/>
      <c r="D44" s="24" t="s">
        <v>135</v>
      </c>
      <c r="E44" t="s">
        <v>136</v>
      </c>
      <c r="F44" s="29"/>
      <c r="G44" t="s">
        <v>64</v>
      </c>
      <c r="H44" s="28" t="s">
        <v>45</v>
      </c>
      <c r="I44" s="28"/>
    </row>
    <row r="45" spans="3:9" ht="14.4" customHeight="1" x14ac:dyDescent="0.35">
      <c r="C45" s="59"/>
      <c r="D45" s="24" t="s">
        <v>135</v>
      </c>
      <c r="E45" t="s">
        <v>136</v>
      </c>
      <c r="F45" s="29"/>
      <c r="G45" t="s">
        <v>64</v>
      </c>
      <c r="H45" s="28" t="s">
        <v>46</v>
      </c>
      <c r="I45" s="28"/>
    </row>
    <row r="46" spans="3:9" ht="14.4" customHeight="1" x14ac:dyDescent="0.35">
      <c r="C46" s="59"/>
      <c r="D46" s="24" t="s">
        <v>135</v>
      </c>
      <c r="E46" t="s">
        <v>137</v>
      </c>
      <c r="F46" s="29"/>
      <c r="G46" t="s">
        <v>64</v>
      </c>
      <c r="H46" s="28" t="s">
        <v>45</v>
      </c>
      <c r="I46" s="28"/>
    </row>
    <row r="47" spans="3:9" ht="14.4" customHeight="1" x14ac:dyDescent="0.35">
      <c r="C47" s="59"/>
      <c r="D47" s="24" t="s">
        <v>135</v>
      </c>
      <c r="E47" t="s">
        <v>137</v>
      </c>
      <c r="F47" s="29"/>
      <c r="G47" t="s">
        <v>64</v>
      </c>
      <c r="H47" s="28" t="s">
        <v>46</v>
      </c>
      <c r="I47" s="28"/>
    </row>
    <row r="48" spans="3:9" ht="15.65" customHeight="1" x14ac:dyDescent="0.35">
      <c r="C48" s="59"/>
      <c r="D48" s="24" t="s">
        <v>138</v>
      </c>
      <c r="E48" t="s">
        <v>139</v>
      </c>
      <c r="F48" s="29"/>
      <c r="G48" t="s">
        <v>140</v>
      </c>
      <c r="H48" s="27"/>
      <c r="I48" s="28"/>
    </row>
    <row r="49" spans="3:9" ht="15.65" customHeight="1" x14ac:dyDescent="0.35">
      <c r="C49" s="59"/>
      <c r="D49" s="24" t="s">
        <v>138</v>
      </c>
      <c r="E49" t="s">
        <v>141</v>
      </c>
      <c r="F49" s="29"/>
      <c r="G49" t="s">
        <v>140</v>
      </c>
      <c r="H49" s="27"/>
      <c r="I49" s="28"/>
    </row>
    <row r="50" spans="3:9" ht="15.65" customHeight="1" x14ac:dyDescent="0.35">
      <c r="C50" s="60"/>
      <c r="D50" s="32" t="s">
        <v>142</v>
      </c>
      <c r="E50" s="33"/>
      <c r="F50" s="44"/>
      <c r="G50" s="45" t="s">
        <v>39</v>
      </c>
      <c r="H50" s="35"/>
      <c r="I50" s="36"/>
    </row>
    <row r="51" spans="3:9" ht="15.65" customHeight="1" x14ac:dyDescent="0.35">
      <c r="C51" s="61" t="s">
        <v>111</v>
      </c>
      <c r="D51" s="19" t="s">
        <v>112</v>
      </c>
      <c r="E51" s="11" t="s">
        <v>11</v>
      </c>
      <c r="F51" s="31"/>
      <c r="G51" s="20"/>
      <c r="H51" s="22"/>
      <c r="I51" s="23"/>
    </row>
    <row r="52" spans="3:9" ht="15.65" customHeight="1" x14ac:dyDescent="0.35">
      <c r="C52" s="62"/>
      <c r="D52" s="24" t="s">
        <v>113</v>
      </c>
      <c r="E52" s="25"/>
      <c r="F52" s="29"/>
      <c r="G52" s="26"/>
      <c r="H52" s="27"/>
      <c r="I52" s="28"/>
    </row>
    <row r="53" spans="3:9" ht="15.65" customHeight="1" x14ac:dyDescent="0.35">
      <c r="C53" s="58" t="s">
        <v>83</v>
      </c>
      <c r="D53" s="19" t="s">
        <v>162</v>
      </c>
      <c r="E53" s="25"/>
      <c r="F53" s="31"/>
      <c r="G53" s="20"/>
      <c r="H53" s="22"/>
      <c r="I53" s="23"/>
    </row>
    <row r="54" spans="3:9" ht="15.65" customHeight="1" x14ac:dyDescent="0.35">
      <c r="C54" s="59"/>
      <c r="D54" s="24" t="s">
        <v>84</v>
      </c>
      <c r="E54" t="s">
        <v>85</v>
      </c>
      <c r="F54" s="29"/>
      <c r="G54" s="25"/>
      <c r="H54" s="27"/>
      <c r="I54" s="28"/>
    </row>
    <row r="55" spans="3:9" ht="15.65" customHeight="1" x14ac:dyDescent="0.35">
      <c r="C55" s="59"/>
      <c r="D55" s="24" t="s">
        <v>86</v>
      </c>
      <c r="E55" s="30"/>
      <c r="F55" s="29"/>
      <c r="G55" s="25"/>
      <c r="H55" s="27"/>
      <c r="I55" s="28"/>
    </row>
    <row r="56" spans="3:9" ht="15.65" customHeight="1" x14ac:dyDescent="0.35">
      <c r="C56" s="59"/>
      <c r="D56" s="24" t="s">
        <v>87</v>
      </c>
      <c r="E56" s="25"/>
      <c r="F56" s="29"/>
      <c r="G56" s="25"/>
      <c r="H56" s="27"/>
      <c r="I56" s="28"/>
    </row>
    <row r="57" spans="3:9" ht="15.65" customHeight="1" x14ac:dyDescent="0.35">
      <c r="C57" s="59"/>
      <c r="D57" s="24" t="s">
        <v>88</v>
      </c>
      <c r="E57" s="25"/>
      <c r="F57" s="29"/>
      <c r="G57" t="s">
        <v>89</v>
      </c>
      <c r="H57" s="28" t="s">
        <v>52</v>
      </c>
      <c r="I57" s="28"/>
    </row>
    <row r="58" spans="3:9" ht="15.65" customHeight="1" x14ac:dyDescent="0.35">
      <c r="C58" s="59"/>
      <c r="D58" s="24" t="s">
        <v>88</v>
      </c>
      <c r="E58" s="25"/>
      <c r="F58" s="29"/>
      <c r="G58" t="s">
        <v>89</v>
      </c>
      <c r="H58" s="28" t="s">
        <v>53</v>
      </c>
      <c r="I58" s="28"/>
    </row>
    <row r="59" spans="3:9" ht="15.65" customHeight="1" x14ac:dyDescent="0.35">
      <c r="C59" s="59"/>
      <c r="D59" s="24" t="s">
        <v>90</v>
      </c>
      <c r="E59" s="25"/>
      <c r="F59" s="29"/>
      <c r="G59" t="s">
        <v>89</v>
      </c>
      <c r="H59" s="28" t="s">
        <v>52</v>
      </c>
      <c r="I59" s="28"/>
    </row>
    <row r="60" spans="3:9" ht="14.4" customHeight="1" x14ac:dyDescent="0.35">
      <c r="C60" s="59"/>
      <c r="D60" s="24" t="s">
        <v>90</v>
      </c>
      <c r="E60" s="25"/>
      <c r="F60" s="29"/>
      <c r="G60" t="s">
        <v>89</v>
      </c>
      <c r="H60" s="28" t="s">
        <v>53</v>
      </c>
      <c r="I60" s="28"/>
    </row>
    <row r="61" spans="3:9" ht="15.65" customHeight="1" x14ac:dyDescent="0.35">
      <c r="C61" s="60"/>
      <c r="D61" s="32" t="s">
        <v>91</v>
      </c>
      <c r="E61" s="33"/>
      <c r="F61" s="34" t="s">
        <v>143</v>
      </c>
      <c r="G61" s="33"/>
      <c r="H61" s="35"/>
      <c r="I61" s="36"/>
    </row>
  </sheetData>
  <mergeCells count="4">
    <mergeCell ref="C2:C11"/>
    <mergeCell ref="C12:C50"/>
    <mergeCell ref="C51:C52"/>
    <mergeCell ref="C53:C61"/>
  </mergeCells>
  <dataValidations count="7">
    <dataValidation type="list" allowBlank="1" showInputMessage="1" showErrorMessage="1" sqref="E55" xr:uid="{00A30092-00B3-4B9C-BEB1-000800270070}">
      <formula1>"PubMed ID, DOI, other"</formula1>
    </dataValidation>
    <dataValidation type="list" allowBlank="1" showInputMessage="1" showErrorMessage="1" sqref="G29" xr:uid="{00740093-00D9-4FD6-A340-004A00C10022}">
      <formula1>"mg/L, %"</formula1>
    </dataValidation>
    <dataValidation type="list" allowBlank="1" showInputMessage="1" showErrorMessage="1" sqref="E22:E25" xr:uid="{000B001D-00F6-4541-9AC1-0066000F003E}">
      <formula1>"WATER, KCL, CACl2, NA"</formula1>
    </dataValidation>
    <dataValidation type="list" allowBlank="1" showInputMessage="1" showErrorMessage="1" sqref="F61" xr:uid="{00410079-00EE-4AD1-8CC0-009B00E300FF}">
      <formula1>"Sludge, Soil, Sediment, Not specified"</formula1>
    </dataValidation>
    <dataValidation type="list" allowBlank="1" showInputMessage="1" showErrorMessage="1" sqref="G52" xr:uid="{00570055-0009-4734-9723-007700810016}">
      <formula1>"µg/L, µg/kg wet soil, µg/kg dry soil, mg/L, mg/kg wet soil, mg/kg dry soil, ppm"</formula1>
    </dataValidation>
    <dataValidation type="list" allowBlank="1" showInputMessage="1" showErrorMessage="1" sqref="F6" xr:uid="{00B60016-00D5-4678-A17E-0042009F00CB}">
      <formula1>"clay, sandy clay, silty clay, sandy clay loam, sandy loam, silty clay loam, sand, loamy sand, loam, silt loam, silt, clay loam, silty sand, sandy silt loam"</formula1>
    </dataValidation>
    <dataValidation type="list" allowBlank="1" showInputMessage="1" showErrorMessage="1" sqref="F10" xr:uid="{00720030-001A-4573-8B1D-00FC007C00E4}">
      <formula1>"USDA, UK_ADAS, UK, DE, International"</formula1>
    </dataValidation>
  </dataValidations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H104"/>
  <sheetViews>
    <sheetView zoomScale="60" workbookViewId="0">
      <selection activeCell="C1" sqref="C1"/>
    </sheetView>
  </sheetViews>
  <sheetFormatPr defaultRowHeight="14.5" x14ac:dyDescent="0.35"/>
  <cols>
    <col min="1" max="1" width="21.90625" customWidth="1"/>
    <col min="2" max="2" width="42.54296875" customWidth="1"/>
    <col min="3" max="3" width="51.453125" customWidth="1"/>
    <col min="4" max="4" width="42.453125" customWidth="1"/>
    <col min="5" max="5" width="69.36328125" customWidth="1"/>
    <col min="6" max="6" width="21.453125" customWidth="1"/>
    <col min="7" max="7" width="26.453125" customWidth="1"/>
    <col min="8" max="8" width="14.54296875" customWidth="1"/>
    <col min="9" max="9" width="13" customWidth="1"/>
    <col min="17" max="17" width="5.6328125" customWidth="1"/>
  </cols>
  <sheetData>
    <row r="1" spans="1:8" x14ac:dyDescent="0.35">
      <c r="A1" s="17" t="s">
        <v>23</v>
      </c>
      <c r="B1" s="17" t="s">
        <v>1</v>
      </c>
      <c r="C1" s="46" t="s">
        <v>25</v>
      </c>
      <c r="D1" s="47" t="s">
        <v>9</v>
      </c>
      <c r="E1" s="47" t="s">
        <v>26</v>
      </c>
      <c r="F1" s="47" t="s">
        <v>27</v>
      </c>
      <c r="G1" s="47" t="s">
        <v>28</v>
      </c>
      <c r="H1" s="48" t="s">
        <v>22</v>
      </c>
    </row>
    <row r="2" spans="1:8" x14ac:dyDescent="0.35">
      <c r="A2" s="18" t="s">
        <v>10</v>
      </c>
      <c r="B2" s="18" t="str">
        <f>Description!B5</f>
        <v>e.g. Geng &amp; Helbling, 2026</v>
      </c>
      <c r="C2" s="24" t="s">
        <v>41</v>
      </c>
      <c r="D2" s="25"/>
      <c r="E2" s="29"/>
      <c r="F2" s="25"/>
      <c r="G2" s="25"/>
      <c r="H2" s="28"/>
    </row>
    <row r="3" spans="1:8" x14ac:dyDescent="0.35">
      <c r="A3" s="18" t="s">
        <v>31</v>
      </c>
      <c r="B3" s="40">
        <f>Description!B3</f>
        <v>0</v>
      </c>
      <c r="C3" s="24" t="s">
        <v>74</v>
      </c>
      <c r="D3" s="25"/>
      <c r="E3" s="26"/>
      <c r="F3" s="25"/>
      <c r="G3" s="25"/>
      <c r="H3" s="28"/>
    </row>
    <row r="4" spans="1:8" x14ac:dyDescent="0.35">
      <c r="C4" s="24" t="s">
        <v>90</v>
      </c>
      <c r="D4" s="25"/>
      <c r="E4" s="29"/>
      <c r="F4" t="s">
        <v>89</v>
      </c>
      <c r="G4" t="s">
        <v>52</v>
      </c>
      <c r="H4" s="28"/>
    </row>
    <row r="5" spans="1:8" x14ac:dyDescent="0.35">
      <c r="C5" s="24" t="s">
        <v>90</v>
      </c>
      <c r="D5" s="25"/>
      <c r="E5" s="29"/>
      <c r="F5" t="s">
        <v>89</v>
      </c>
      <c r="G5" t="s">
        <v>53</v>
      </c>
      <c r="H5" s="28"/>
    </row>
    <row r="6" spans="1:8" x14ac:dyDescent="0.35">
      <c r="C6" s="24" t="s">
        <v>33</v>
      </c>
      <c r="D6" s="25"/>
      <c r="E6" s="26"/>
      <c r="F6" s="25"/>
      <c r="G6" s="25"/>
      <c r="H6" s="28"/>
    </row>
    <row r="7" spans="1:8" x14ac:dyDescent="0.35">
      <c r="C7" s="24" t="s">
        <v>38</v>
      </c>
      <c r="D7" s="49"/>
      <c r="E7" s="29"/>
      <c r="F7" t="s">
        <v>39</v>
      </c>
      <c r="G7" s="25"/>
      <c r="H7" s="28"/>
    </row>
    <row r="8" spans="1:8" x14ac:dyDescent="0.35">
      <c r="C8" s="24" t="s">
        <v>107</v>
      </c>
      <c r="D8" s="25"/>
      <c r="E8" s="29"/>
      <c r="F8" t="s">
        <v>108</v>
      </c>
      <c r="G8" s="25"/>
      <c r="H8" s="28"/>
    </row>
    <row r="9" spans="1:8" x14ac:dyDescent="0.35">
      <c r="C9" s="24" t="s">
        <v>48</v>
      </c>
      <c r="D9" s="25"/>
      <c r="E9" s="29"/>
      <c r="F9" t="s">
        <v>49</v>
      </c>
      <c r="G9" s="25"/>
      <c r="H9" s="28"/>
    </row>
    <row r="10" spans="1:8" x14ac:dyDescent="0.35">
      <c r="C10" s="24" t="s">
        <v>121</v>
      </c>
      <c r="D10" t="s">
        <v>122</v>
      </c>
      <c r="E10" s="29"/>
      <c r="F10" t="s">
        <v>119</v>
      </c>
      <c r="G10" s="25"/>
      <c r="H10" s="28"/>
    </row>
    <row r="11" spans="1:8" x14ac:dyDescent="0.35">
      <c r="C11" s="24" t="s">
        <v>121</v>
      </c>
      <c r="D11" t="s">
        <v>123</v>
      </c>
      <c r="E11" s="29"/>
      <c r="F11" t="s">
        <v>119</v>
      </c>
      <c r="G11" s="25"/>
      <c r="H11" s="28"/>
    </row>
    <row r="12" spans="1:8" x14ac:dyDescent="0.35">
      <c r="C12" s="24" t="s">
        <v>72</v>
      </c>
      <c r="D12" s="25"/>
      <c r="E12" s="29"/>
      <c r="F12" t="s">
        <v>71</v>
      </c>
      <c r="G12" t="s">
        <v>52</v>
      </c>
      <c r="H12" s="28"/>
    </row>
    <row r="13" spans="1:8" x14ac:dyDescent="0.35">
      <c r="C13" s="24" t="s">
        <v>72</v>
      </c>
      <c r="D13" s="25"/>
      <c r="E13" s="29"/>
      <c r="F13" t="s">
        <v>71</v>
      </c>
      <c r="G13" t="s">
        <v>53</v>
      </c>
      <c r="H13" s="28"/>
    </row>
    <row r="14" spans="1:8" x14ac:dyDescent="0.35">
      <c r="C14" s="24" t="s">
        <v>73</v>
      </c>
      <c r="D14" s="25"/>
      <c r="E14" s="29"/>
      <c r="F14" t="s">
        <v>64</v>
      </c>
      <c r="G14" t="s">
        <v>45</v>
      </c>
      <c r="H14" s="28"/>
    </row>
    <row r="15" spans="1:8" x14ac:dyDescent="0.35">
      <c r="C15" s="24" t="s">
        <v>73</v>
      </c>
      <c r="D15" s="25"/>
      <c r="E15" s="29"/>
      <c r="F15" t="s">
        <v>64</v>
      </c>
      <c r="G15" t="s">
        <v>46</v>
      </c>
      <c r="H15" s="28"/>
    </row>
    <row r="16" spans="1:8" x14ac:dyDescent="0.35">
      <c r="C16" s="24" t="s">
        <v>84</v>
      </c>
      <c r="D16" t="s">
        <v>10</v>
      </c>
      <c r="E16" s="29"/>
      <c r="F16" s="25"/>
      <c r="G16" s="25"/>
      <c r="H16" s="28"/>
    </row>
    <row r="17" spans="3:8" x14ac:dyDescent="0.35">
      <c r="C17" s="24" t="s">
        <v>84</v>
      </c>
      <c r="D17" t="s">
        <v>85</v>
      </c>
      <c r="E17" s="29"/>
      <c r="F17" s="25"/>
      <c r="G17" s="25"/>
      <c r="H17" s="28"/>
    </row>
    <row r="18" spans="3:8" x14ac:dyDescent="0.35">
      <c r="C18" s="24" t="s">
        <v>103</v>
      </c>
      <c r="D18" s="25"/>
      <c r="E18" s="29"/>
      <c r="F18" t="s">
        <v>44</v>
      </c>
      <c r="G18" s="25"/>
      <c r="H18" s="28"/>
    </row>
    <row r="19" spans="3:8" x14ac:dyDescent="0.35">
      <c r="C19" s="24" t="s">
        <v>103</v>
      </c>
      <c r="D19" t="s">
        <v>104</v>
      </c>
      <c r="E19" s="29"/>
      <c r="F19" s="25"/>
      <c r="G19" s="25"/>
      <c r="H19" s="28"/>
    </row>
    <row r="20" spans="3:8" x14ac:dyDescent="0.35">
      <c r="C20" s="24" t="s">
        <v>76</v>
      </c>
      <c r="D20" s="25"/>
      <c r="E20" s="29"/>
      <c r="F20" t="s">
        <v>77</v>
      </c>
      <c r="G20" s="25"/>
      <c r="H20" s="28"/>
    </row>
    <row r="21" spans="3:8" x14ac:dyDescent="0.35">
      <c r="C21" s="24" t="s">
        <v>40</v>
      </c>
      <c r="D21" s="25"/>
      <c r="E21" s="29"/>
      <c r="F21" t="s">
        <v>39</v>
      </c>
      <c r="G21" s="25"/>
      <c r="H21" s="28"/>
    </row>
    <row r="22" spans="3:8" x14ac:dyDescent="0.35">
      <c r="C22" s="24" t="s">
        <v>138</v>
      </c>
      <c r="D22" t="s">
        <v>144</v>
      </c>
      <c r="E22" s="29"/>
      <c r="F22" t="s">
        <v>140</v>
      </c>
      <c r="G22" s="25"/>
      <c r="H22" s="28"/>
    </row>
    <row r="23" spans="3:8" x14ac:dyDescent="0.35">
      <c r="C23" s="24" t="s">
        <v>138</v>
      </c>
      <c r="D23" t="s">
        <v>145</v>
      </c>
      <c r="E23" s="29"/>
      <c r="F23" t="s">
        <v>140</v>
      </c>
      <c r="G23" s="25"/>
      <c r="H23" s="28"/>
    </row>
    <row r="24" spans="3:8" x14ac:dyDescent="0.35">
      <c r="C24" s="24" t="s">
        <v>142</v>
      </c>
      <c r="D24" s="25"/>
      <c r="E24" s="29"/>
      <c r="F24" t="s">
        <v>39</v>
      </c>
      <c r="G24" s="25"/>
      <c r="H24" s="28"/>
    </row>
    <row r="25" spans="3:8" x14ac:dyDescent="0.35">
      <c r="C25" s="24" t="s">
        <v>87</v>
      </c>
      <c r="D25" s="25"/>
      <c r="E25" s="29"/>
      <c r="F25" s="25"/>
      <c r="G25" s="25"/>
      <c r="H25" s="28"/>
    </row>
    <row r="26" spans="3:8" x14ac:dyDescent="0.35">
      <c r="C26" s="24" t="s">
        <v>34</v>
      </c>
      <c r="D26" s="25"/>
      <c r="E26" s="29"/>
      <c r="F26" s="25"/>
      <c r="G26" s="25"/>
      <c r="H26" s="28"/>
    </row>
    <row r="27" spans="3:8" x14ac:dyDescent="0.35">
      <c r="C27" s="24" t="s">
        <v>30</v>
      </c>
      <c r="D27" s="25"/>
      <c r="E27" s="21"/>
      <c r="F27" s="25"/>
      <c r="G27" s="25"/>
      <c r="H27" s="28"/>
    </row>
    <row r="28" spans="3:8" x14ac:dyDescent="0.35">
      <c r="C28" s="24" t="s">
        <v>109</v>
      </c>
      <c r="D28" s="25"/>
      <c r="E28" s="29"/>
      <c r="F28" t="s">
        <v>110</v>
      </c>
      <c r="G28" t="s">
        <v>52</v>
      </c>
      <c r="H28" s="28"/>
    </row>
    <row r="29" spans="3:8" x14ac:dyDescent="0.35">
      <c r="C29" s="24" t="s">
        <v>109</v>
      </c>
      <c r="D29" s="25"/>
      <c r="E29" s="29"/>
      <c r="F29" t="s">
        <v>110</v>
      </c>
      <c r="G29" t="s">
        <v>53</v>
      </c>
      <c r="H29" s="28"/>
    </row>
    <row r="30" spans="3:8" x14ac:dyDescent="0.35">
      <c r="C30" s="24" t="s">
        <v>131</v>
      </c>
      <c r="D30" s="25"/>
      <c r="E30" s="29"/>
      <c r="F30" t="s">
        <v>132</v>
      </c>
      <c r="G30" t="s">
        <v>52</v>
      </c>
      <c r="H30" s="28"/>
    </row>
    <row r="31" spans="3:8" x14ac:dyDescent="0.35">
      <c r="C31" s="24" t="s">
        <v>131</v>
      </c>
      <c r="D31" s="25"/>
      <c r="E31" s="29"/>
      <c r="F31" t="s">
        <v>132</v>
      </c>
      <c r="G31" t="s">
        <v>53</v>
      </c>
      <c r="H31" s="28"/>
    </row>
    <row r="32" spans="3:8" x14ac:dyDescent="0.35">
      <c r="C32" s="24" t="s">
        <v>131</v>
      </c>
      <c r="D32" s="25"/>
      <c r="E32" s="29"/>
      <c r="F32" t="s">
        <v>133</v>
      </c>
      <c r="G32" t="s">
        <v>52</v>
      </c>
      <c r="H32" s="28"/>
    </row>
    <row r="33" spans="3:8" x14ac:dyDescent="0.35">
      <c r="C33" s="24" t="s">
        <v>131</v>
      </c>
      <c r="D33" s="25"/>
      <c r="E33" s="29"/>
      <c r="F33" t="s">
        <v>133</v>
      </c>
      <c r="G33" t="s">
        <v>53</v>
      </c>
      <c r="H33" s="28"/>
    </row>
    <row r="34" spans="3:8" x14ac:dyDescent="0.35">
      <c r="C34" s="24" t="s">
        <v>129</v>
      </c>
      <c r="D34" s="25"/>
      <c r="E34" s="29"/>
      <c r="F34" t="s">
        <v>130</v>
      </c>
      <c r="G34" t="s">
        <v>52</v>
      </c>
      <c r="H34" s="28"/>
    </row>
    <row r="35" spans="3:8" x14ac:dyDescent="0.35">
      <c r="C35" s="24" t="s">
        <v>129</v>
      </c>
      <c r="D35" s="25"/>
      <c r="E35" s="29"/>
      <c r="F35" t="s">
        <v>130</v>
      </c>
      <c r="G35" t="s">
        <v>53</v>
      </c>
      <c r="H35" s="28"/>
    </row>
    <row r="36" spans="3:8" x14ac:dyDescent="0.35">
      <c r="C36" s="24" t="s">
        <v>67</v>
      </c>
      <c r="D36" s="30"/>
      <c r="E36" s="29"/>
      <c r="F36" t="s">
        <v>64</v>
      </c>
      <c r="G36" t="s">
        <v>65</v>
      </c>
      <c r="H36" s="28"/>
    </row>
    <row r="37" spans="3:8" x14ac:dyDescent="0.35">
      <c r="C37" s="24" t="s">
        <v>67</v>
      </c>
      <c r="D37" s="30"/>
      <c r="E37" s="29"/>
      <c r="F37" t="s">
        <v>64</v>
      </c>
      <c r="G37" t="s">
        <v>66</v>
      </c>
      <c r="H37" s="28"/>
    </row>
    <row r="38" spans="3:8" x14ac:dyDescent="0.35">
      <c r="C38" s="24" t="s">
        <v>135</v>
      </c>
      <c r="D38" t="s">
        <v>136</v>
      </c>
      <c r="E38" s="29"/>
      <c r="F38" t="s">
        <v>64</v>
      </c>
      <c r="G38" t="s">
        <v>45</v>
      </c>
      <c r="H38" s="28"/>
    </row>
    <row r="39" spans="3:8" x14ac:dyDescent="0.35">
      <c r="C39" s="24" t="s">
        <v>135</v>
      </c>
      <c r="D39" t="s">
        <v>136</v>
      </c>
      <c r="E39" s="29"/>
      <c r="F39" t="s">
        <v>64</v>
      </c>
      <c r="G39" t="s">
        <v>46</v>
      </c>
      <c r="H39" s="28"/>
    </row>
    <row r="40" spans="3:8" x14ac:dyDescent="0.35">
      <c r="C40" s="24" t="s">
        <v>135</v>
      </c>
      <c r="D40" t="s">
        <v>137</v>
      </c>
      <c r="E40" s="29"/>
      <c r="F40" t="s">
        <v>64</v>
      </c>
      <c r="G40" t="s">
        <v>45</v>
      </c>
      <c r="H40" s="28"/>
    </row>
    <row r="41" spans="3:8" x14ac:dyDescent="0.35">
      <c r="C41" s="24" t="s">
        <v>135</v>
      </c>
      <c r="D41" t="s">
        <v>137</v>
      </c>
      <c r="E41" s="29"/>
      <c r="F41" t="s">
        <v>64</v>
      </c>
      <c r="G41" t="s">
        <v>46</v>
      </c>
      <c r="H41" s="28"/>
    </row>
    <row r="42" spans="3:8" x14ac:dyDescent="0.35">
      <c r="C42" s="24" t="s">
        <v>42</v>
      </c>
      <c r="D42" t="s">
        <v>43</v>
      </c>
      <c r="E42" s="29"/>
      <c r="F42" t="s">
        <v>44</v>
      </c>
      <c r="G42" t="s">
        <v>45</v>
      </c>
      <c r="H42" s="28"/>
    </row>
    <row r="43" spans="3:8" x14ac:dyDescent="0.35">
      <c r="C43" s="24" t="s">
        <v>42</v>
      </c>
      <c r="D43" t="s">
        <v>43</v>
      </c>
      <c r="E43" s="29"/>
      <c r="F43" t="s">
        <v>44</v>
      </c>
      <c r="G43" t="s">
        <v>46</v>
      </c>
      <c r="H43" s="28"/>
    </row>
    <row r="44" spans="3:8" x14ac:dyDescent="0.35">
      <c r="C44" s="24" t="s">
        <v>42</v>
      </c>
      <c r="D44" t="s">
        <v>47</v>
      </c>
      <c r="E44" s="29"/>
      <c r="F44" t="s">
        <v>44</v>
      </c>
      <c r="G44" t="s">
        <v>45</v>
      </c>
      <c r="H44" s="28"/>
    </row>
    <row r="45" spans="3:8" x14ac:dyDescent="0.35">
      <c r="C45" s="24" t="s">
        <v>42</v>
      </c>
      <c r="D45" t="s">
        <v>47</v>
      </c>
      <c r="E45" s="29"/>
      <c r="F45" t="s">
        <v>44</v>
      </c>
      <c r="G45" t="s">
        <v>46</v>
      </c>
      <c r="H45" s="28"/>
    </row>
    <row r="46" spans="3:8" x14ac:dyDescent="0.35">
      <c r="C46" s="24" t="s">
        <v>42</v>
      </c>
      <c r="D46" s="25"/>
      <c r="E46" s="29"/>
      <c r="F46" s="30"/>
      <c r="G46" s="25"/>
      <c r="H46" s="28"/>
    </row>
    <row r="47" spans="3:8" x14ac:dyDescent="0.35">
      <c r="C47" s="24" t="s">
        <v>134</v>
      </c>
      <c r="D47" t="s">
        <v>43</v>
      </c>
      <c r="E47" s="29"/>
      <c r="F47" t="s">
        <v>44</v>
      </c>
      <c r="G47" t="s">
        <v>59</v>
      </c>
      <c r="H47" s="28"/>
    </row>
    <row r="48" spans="3:8" x14ac:dyDescent="0.35">
      <c r="C48" s="24" t="s">
        <v>134</v>
      </c>
      <c r="D48" t="s">
        <v>43</v>
      </c>
      <c r="E48" s="29"/>
      <c r="F48" t="s">
        <v>44</v>
      </c>
      <c r="G48" t="s">
        <v>60</v>
      </c>
      <c r="H48" s="28"/>
    </row>
    <row r="49" spans="3:8" x14ac:dyDescent="0.35">
      <c r="C49" s="24" t="s">
        <v>134</v>
      </c>
      <c r="D49" t="s">
        <v>47</v>
      </c>
      <c r="E49" s="29"/>
      <c r="F49" t="s">
        <v>44</v>
      </c>
      <c r="G49" t="s">
        <v>59</v>
      </c>
      <c r="H49" s="28"/>
    </row>
    <row r="50" spans="3:8" x14ac:dyDescent="0.35">
      <c r="C50" s="24" t="s">
        <v>134</v>
      </c>
      <c r="D50" t="s">
        <v>47</v>
      </c>
      <c r="E50" s="29"/>
      <c r="F50" t="s">
        <v>44</v>
      </c>
      <c r="G50" t="s">
        <v>60</v>
      </c>
      <c r="H50" s="28"/>
    </row>
    <row r="51" spans="3:8" x14ac:dyDescent="0.35">
      <c r="C51" s="24" t="s">
        <v>124</v>
      </c>
      <c r="D51" t="s">
        <v>123</v>
      </c>
      <c r="E51" s="29"/>
      <c r="F51" t="s">
        <v>64</v>
      </c>
      <c r="G51" t="s">
        <v>45</v>
      </c>
      <c r="H51" s="28"/>
    </row>
    <row r="52" spans="3:8" x14ac:dyDescent="0.35">
      <c r="C52" s="24" t="s">
        <v>124</v>
      </c>
      <c r="D52" t="s">
        <v>123</v>
      </c>
      <c r="E52" s="29"/>
      <c r="F52" t="s">
        <v>64</v>
      </c>
      <c r="G52" t="s">
        <v>46</v>
      </c>
      <c r="H52" s="28"/>
    </row>
    <row r="53" spans="3:8" x14ac:dyDescent="0.35">
      <c r="C53" s="24" t="s">
        <v>124</v>
      </c>
      <c r="D53" t="s">
        <v>122</v>
      </c>
      <c r="E53" s="29"/>
      <c r="F53" t="s">
        <v>64</v>
      </c>
      <c r="G53" t="s">
        <v>45</v>
      </c>
      <c r="H53" s="28"/>
    </row>
    <row r="54" spans="3:8" x14ac:dyDescent="0.35">
      <c r="C54" s="24" t="s">
        <v>124</v>
      </c>
      <c r="D54" t="s">
        <v>122</v>
      </c>
      <c r="E54" s="29"/>
      <c r="F54" t="s">
        <v>64</v>
      </c>
      <c r="G54" t="s">
        <v>46</v>
      </c>
      <c r="H54" s="28"/>
    </row>
    <row r="55" spans="3:8" x14ac:dyDescent="0.35">
      <c r="C55" s="24" t="s">
        <v>63</v>
      </c>
      <c r="D55" s="30"/>
      <c r="E55" s="29"/>
      <c r="F55" t="s">
        <v>64</v>
      </c>
      <c r="G55" t="s">
        <v>65</v>
      </c>
      <c r="H55" s="28"/>
    </row>
    <row r="56" spans="3:8" x14ac:dyDescent="0.35">
      <c r="C56" s="24" t="s">
        <v>63</v>
      </c>
      <c r="D56" s="30"/>
      <c r="E56" s="29"/>
      <c r="F56" t="s">
        <v>64</v>
      </c>
      <c r="G56" t="s">
        <v>66</v>
      </c>
      <c r="H56" s="28"/>
    </row>
    <row r="57" spans="3:8" x14ac:dyDescent="0.35">
      <c r="C57" s="24" t="s">
        <v>88</v>
      </c>
      <c r="D57" s="25"/>
      <c r="E57" s="29"/>
      <c r="F57" t="s">
        <v>89</v>
      </c>
      <c r="G57" t="s">
        <v>52</v>
      </c>
      <c r="H57" s="28"/>
    </row>
    <row r="58" spans="3:8" x14ac:dyDescent="0.35">
      <c r="C58" s="24" t="s">
        <v>88</v>
      </c>
      <c r="D58" s="25"/>
      <c r="E58" s="29"/>
      <c r="F58" t="s">
        <v>89</v>
      </c>
      <c r="G58" t="s">
        <v>53</v>
      </c>
      <c r="H58" s="28"/>
    </row>
    <row r="59" spans="3:8" x14ac:dyDescent="0.35">
      <c r="C59" s="24" t="s">
        <v>61</v>
      </c>
      <c r="D59" s="26"/>
      <c r="E59" s="29"/>
      <c r="F59" s="25" t="s">
        <v>62</v>
      </c>
      <c r="G59" t="s">
        <v>45</v>
      </c>
      <c r="H59" s="28"/>
    </row>
    <row r="60" spans="3:8" x14ac:dyDescent="0.35">
      <c r="C60" s="24" t="s">
        <v>61</v>
      </c>
      <c r="D60" s="26"/>
      <c r="E60" s="29"/>
      <c r="F60" s="25" t="s">
        <v>62</v>
      </c>
      <c r="G60" t="s">
        <v>46</v>
      </c>
      <c r="H60" s="28"/>
    </row>
    <row r="61" spans="3:8" x14ac:dyDescent="0.35">
      <c r="C61" s="24" t="s">
        <v>127</v>
      </c>
      <c r="D61" s="26"/>
      <c r="E61" s="29"/>
      <c r="F61" s="25" t="s">
        <v>62</v>
      </c>
      <c r="G61" t="s">
        <v>45</v>
      </c>
      <c r="H61" s="28"/>
    </row>
    <row r="62" spans="3:8" x14ac:dyDescent="0.35">
      <c r="C62" s="24" t="s">
        <v>127</v>
      </c>
      <c r="D62" s="26"/>
      <c r="E62" s="29"/>
      <c r="F62" s="25" t="s">
        <v>62</v>
      </c>
      <c r="G62" t="s">
        <v>46</v>
      </c>
      <c r="H62" s="28"/>
    </row>
    <row r="63" spans="3:8" x14ac:dyDescent="0.35">
      <c r="C63" s="24" t="s">
        <v>128</v>
      </c>
      <c r="D63" s="26"/>
      <c r="E63" s="29"/>
      <c r="F63" s="25" t="s">
        <v>62</v>
      </c>
      <c r="G63" t="s">
        <v>45</v>
      </c>
      <c r="H63" s="28"/>
    </row>
    <row r="64" spans="3:8" x14ac:dyDescent="0.35">
      <c r="C64" s="24" t="s">
        <v>128</v>
      </c>
      <c r="D64" s="26"/>
      <c r="E64" s="29"/>
      <c r="F64" s="25" t="s">
        <v>62</v>
      </c>
      <c r="G64" t="s">
        <v>46</v>
      </c>
      <c r="H64" s="28"/>
    </row>
    <row r="65" spans="3:8" x14ac:dyDescent="0.35">
      <c r="C65" s="24" t="s">
        <v>146</v>
      </c>
      <c r="D65" s="25"/>
      <c r="E65" s="29"/>
      <c r="F65" t="s">
        <v>64</v>
      </c>
      <c r="G65" t="s">
        <v>65</v>
      </c>
      <c r="H65" s="28"/>
    </row>
    <row r="66" spans="3:8" x14ac:dyDescent="0.35">
      <c r="C66" s="24" t="s">
        <v>146</v>
      </c>
      <c r="D66" s="25"/>
      <c r="E66" s="29"/>
      <c r="F66" t="s">
        <v>64</v>
      </c>
      <c r="G66" t="s">
        <v>66</v>
      </c>
      <c r="H66" s="28"/>
    </row>
    <row r="67" spans="3:8" x14ac:dyDescent="0.35">
      <c r="C67" s="24" t="s">
        <v>32</v>
      </c>
      <c r="D67" s="25"/>
      <c r="E67" s="26"/>
      <c r="F67" s="25"/>
      <c r="G67" s="25"/>
      <c r="H67" s="28"/>
    </row>
    <row r="68" spans="3:8" x14ac:dyDescent="0.35">
      <c r="C68" s="24" t="s">
        <v>55</v>
      </c>
      <c r="D68" s="25"/>
      <c r="E68" s="26"/>
      <c r="F68" s="25"/>
      <c r="G68" s="25"/>
      <c r="H68" s="28"/>
    </row>
    <row r="69" spans="3:8" x14ac:dyDescent="0.35">
      <c r="C69" s="24" t="s">
        <v>125</v>
      </c>
      <c r="D69" t="s">
        <v>123</v>
      </c>
      <c r="E69" s="29"/>
      <c r="F69" t="s">
        <v>126</v>
      </c>
      <c r="G69" t="s">
        <v>45</v>
      </c>
      <c r="H69" s="28"/>
    </row>
    <row r="70" spans="3:8" x14ac:dyDescent="0.35">
      <c r="C70" s="24" t="s">
        <v>125</v>
      </c>
      <c r="D70" t="s">
        <v>123</v>
      </c>
      <c r="E70" s="29"/>
      <c r="F70" t="s">
        <v>126</v>
      </c>
      <c r="G70" t="s">
        <v>46</v>
      </c>
      <c r="H70" s="28"/>
    </row>
    <row r="71" spans="3:8" x14ac:dyDescent="0.35">
      <c r="C71" s="24" t="s">
        <v>125</v>
      </c>
      <c r="D71" t="s">
        <v>122</v>
      </c>
      <c r="E71" s="29"/>
      <c r="F71" t="s">
        <v>126</v>
      </c>
      <c r="G71" t="s">
        <v>45</v>
      </c>
      <c r="H71" s="28"/>
    </row>
    <row r="72" spans="3:8" x14ac:dyDescent="0.35">
      <c r="C72" s="24" t="s">
        <v>125</v>
      </c>
      <c r="D72" t="s">
        <v>122</v>
      </c>
      <c r="E72" s="29"/>
      <c r="F72" t="s">
        <v>126</v>
      </c>
      <c r="G72" t="s">
        <v>46</v>
      </c>
      <c r="H72" s="28"/>
    </row>
    <row r="73" spans="3:8" x14ac:dyDescent="0.35">
      <c r="C73" s="24" t="s">
        <v>86</v>
      </c>
      <c r="D73" s="30" t="s">
        <v>3</v>
      </c>
      <c r="E73" s="29">
        <f>Description!B4</f>
        <v>0</v>
      </c>
      <c r="F73" s="25"/>
      <c r="G73" s="25"/>
      <c r="H73" s="28"/>
    </row>
    <row r="74" spans="3:8" x14ac:dyDescent="0.35">
      <c r="C74" s="24" t="s">
        <v>117</v>
      </c>
      <c r="D74" s="25"/>
      <c r="E74" s="29"/>
      <c r="F74" s="25"/>
      <c r="G74" s="25"/>
      <c r="H74" s="28"/>
    </row>
    <row r="75" spans="3:8" x14ac:dyDescent="0.35">
      <c r="C75" s="24" t="s">
        <v>118</v>
      </c>
      <c r="D75" s="25"/>
      <c r="E75" s="29"/>
      <c r="F75" t="s">
        <v>119</v>
      </c>
      <c r="G75" t="s">
        <v>59</v>
      </c>
      <c r="H75" s="28"/>
    </row>
    <row r="76" spans="3:8" x14ac:dyDescent="0.35">
      <c r="C76" s="24" t="s">
        <v>118</v>
      </c>
      <c r="D76" s="25"/>
      <c r="E76" s="29"/>
      <c r="F76" t="s">
        <v>119</v>
      </c>
      <c r="G76" t="s">
        <v>60</v>
      </c>
      <c r="H76" s="28"/>
    </row>
    <row r="77" spans="3:8" x14ac:dyDescent="0.35">
      <c r="C77" s="24" t="s">
        <v>120</v>
      </c>
      <c r="D77" s="25"/>
      <c r="E77" s="29"/>
      <c r="F77" s="25"/>
      <c r="G77" s="25"/>
      <c r="H77" s="28"/>
    </row>
    <row r="78" spans="3:8" x14ac:dyDescent="0.35">
      <c r="C78" s="24" t="s">
        <v>35</v>
      </c>
      <c r="D78" s="30"/>
      <c r="E78" s="29"/>
      <c r="F78" t="s">
        <v>36</v>
      </c>
      <c r="G78" s="25"/>
      <c r="H78" s="28"/>
    </row>
    <row r="79" spans="3:8" x14ac:dyDescent="0.35">
      <c r="C79" s="24" t="s">
        <v>95</v>
      </c>
      <c r="D79" s="25"/>
      <c r="E79" s="29"/>
      <c r="F79" s="25"/>
      <c r="G79" s="25"/>
      <c r="H79" s="28"/>
    </row>
    <row r="80" spans="3:8" x14ac:dyDescent="0.35">
      <c r="C80" s="24" t="s">
        <v>96</v>
      </c>
      <c r="D80" s="25"/>
      <c r="E80" s="26"/>
      <c r="F80" s="25"/>
      <c r="G80" s="25"/>
      <c r="H80" s="28"/>
    </row>
    <row r="81" spans="3:8" x14ac:dyDescent="0.35">
      <c r="C81" s="24" t="s">
        <v>97</v>
      </c>
      <c r="D81" t="s">
        <v>98</v>
      </c>
      <c r="E81" s="29"/>
      <c r="F81" t="s">
        <v>44</v>
      </c>
      <c r="G81" s="25"/>
      <c r="H81" s="28"/>
    </row>
    <row r="82" spans="3:8" x14ac:dyDescent="0.35">
      <c r="C82" s="24" t="s">
        <v>97</v>
      </c>
      <c r="D82" t="s">
        <v>99</v>
      </c>
      <c r="E82" s="29"/>
      <c r="F82" t="s">
        <v>44</v>
      </c>
      <c r="G82" s="25"/>
      <c r="H82" s="28"/>
    </row>
    <row r="83" spans="3:8" x14ac:dyDescent="0.35">
      <c r="C83" s="24" t="s">
        <v>97</v>
      </c>
      <c r="D83" t="s">
        <v>100</v>
      </c>
      <c r="E83" s="29"/>
      <c r="F83" t="s">
        <v>44</v>
      </c>
      <c r="G83" s="25"/>
      <c r="H83" s="28"/>
    </row>
    <row r="84" spans="3:8" x14ac:dyDescent="0.35">
      <c r="C84" s="24" t="s">
        <v>101</v>
      </c>
      <c r="D84" s="25"/>
      <c r="E84" s="26"/>
      <c r="F84" s="25"/>
      <c r="G84" s="25"/>
      <c r="H84" s="28"/>
    </row>
    <row r="85" spans="3:8" x14ac:dyDescent="0.35">
      <c r="C85" s="24" t="s">
        <v>79</v>
      </c>
      <c r="D85" t="s">
        <v>80</v>
      </c>
      <c r="E85" s="26"/>
      <c r="F85" s="25"/>
      <c r="G85" s="25"/>
      <c r="H85" s="28"/>
    </row>
    <row r="86" spans="3:8" x14ac:dyDescent="0.35">
      <c r="C86" s="24" t="s">
        <v>79</v>
      </c>
      <c r="D86" t="s">
        <v>81</v>
      </c>
      <c r="E86" s="26"/>
      <c r="F86" s="25"/>
      <c r="G86" s="25"/>
      <c r="H86" s="28"/>
    </row>
    <row r="87" spans="3:8" x14ac:dyDescent="0.35">
      <c r="C87" s="24" t="s">
        <v>79</v>
      </c>
      <c r="D87" t="s">
        <v>82</v>
      </c>
      <c r="E87" s="26"/>
      <c r="F87" s="25"/>
      <c r="G87" s="25"/>
      <c r="H87" s="28"/>
    </row>
    <row r="88" spans="3:8" x14ac:dyDescent="0.35">
      <c r="C88" s="24" t="s">
        <v>69</v>
      </c>
      <c r="D88" s="25"/>
      <c r="E88" s="29"/>
      <c r="F88" s="25"/>
      <c r="G88" s="25"/>
      <c r="H88" s="28"/>
    </row>
    <row r="89" spans="3:8" x14ac:dyDescent="0.35">
      <c r="C89" s="24" t="s">
        <v>112</v>
      </c>
      <c r="D89" t="s">
        <v>11</v>
      </c>
      <c r="E89" s="50"/>
      <c r="F89" s="25"/>
      <c r="G89" s="25"/>
      <c r="H89" s="28"/>
    </row>
    <row r="90" spans="3:8" x14ac:dyDescent="0.35">
      <c r="C90" s="24" t="s">
        <v>113</v>
      </c>
      <c r="D90" s="25"/>
      <c r="E90" s="29"/>
      <c r="F90" s="26"/>
      <c r="G90" s="25"/>
      <c r="H90" s="28"/>
    </row>
    <row r="91" spans="3:8" x14ac:dyDescent="0.35">
      <c r="C91" s="24" t="s">
        <v>162</v>
      </c>
      <c r="D91" s="25"/>
      <c r="E91" s="29"/>
      <c r="F91" s="25"/>
      <c r="G91" s="25"/>
      <c r="H91" s="28"/>
    </row>
    <row r="92" spans="3:8" x14ac:dyDescent="0.35">
      <c r="C92" s="24" t="s">
        <v>57</v>
      </c>
      <c r="D92" s="25"/>
      <c r="E92" s="29"/>
      <c r="F92" t="s">
        <v>58</v>
      </c>
      <c r="G92" t="s">
        <v>59</v>
      </c>
      <c r="H92" s="28"/>
    </row>
    <row r="93" spans="3:8" x14ac:dyDescent="0.35">
      <c r="C93" s="24" t="s">
        <v>57</v>
      </c>
      <c r="D93" s="25"/>
      <c r="E93" s="29"/>
      <c r="F93" t="s">
        <v>58</v>
      </c>
      <c r="G93" t="s">
        <v>60</v>
      </c>
      <c r="H93" s="28"/>
    </row>
    <row r="94" spans="3:8" x14ac:dyDescent="0.35">
      <c r="C94" s="24" t="s">
        <v>70</v>
      </c>
      <c r="D94" s="25"/>
      <c r="E94" s="29"/>
      <c r="F94" t="s">
        <v>71</v>
      </c>
      <c r="G94" t="s">
        <v>52</v>
      </c>
      <c r="H94" s="28"/>
    </row>
    <row r="95" spans="3:8" x14ac:dyDescent="0.35">
      <c r="C95" s="24" t="s">
        <v>70</v>
      </c>
      <c r="D95" s="25"/>
      <c r="E95" s="29"/>
      <c r="F95" t="s">
        <v>71</v>
      </c>
      <c r="G95" t="s">
        <v>53</v>
      </c>
      <c r="H95" s="28"/>
    </row>
    <row r="96" spans="3:8" x14ac:dyDescent="0.35">
      <c r="C96" s="24" t="s">
        <v>50</v>
      </c>
      <c r="D96" s="25"/>
      <c r="E96" s="29"/>
      <c r="F96" t="s">
        <v>51</v>
      </c>
      <c r="G96" t="s">
        <v>52</v>
      </c>
      <c r="H96" s="28"/>
    </row>
    <row r="97" spans="3:8" x14ac:dyDescent="0.35">
      <c r="C97" s="24" t="s">
        <v>50</v>
      </c>
      <c r="D97" s="25"/>
      <c r="E97" s="29"/>
      <c r="F97" t="s">
        <v>51</v>
      </c>
      <c r="G97" t="s">
        <v>53</v>
      </c>
      <c r="H97" s="28"/>
    </row>
    <row r="98" spans="3:8" x14ac:dyDescent="0.35">
      <c r="C98" s="24" t="s">
        <v>56</v>
      </c>
      <c r="D98" s="25"/>
      <c r="E98" s="26"/>
      <c r="F98" s="25"/>
      <c r="G98" s="25"/>
      <c r="H98" s="28"/>
    </row>
    <row r="99" spans="3:8" x14ac:dyDescent="0.35">
      <c r="C99" s="24" t="s">
        <v>78</v>
      </c>
      <c r="D99" s="25"/>
      <c r="E99" s="26"/>
      <c r="F99" s="25"/>
      <c r="G99" s="25"/>
      <c r="H99" s="28"/>
    </row>
    <row r="100" spans="3:8" x14ac:dyDescent="0.35">
      <c r="C100" s="24" t="s">
        <v>54</v>
      </c>
      <c r="D100" s="25"/>
      <c r="E100" s="29"/>
      <c r="F100" t="s">
        <v>51</v>
      </c>
      <c r="G100" t="s">
        <v>52</v>
      </c>
      <c r="H100" s="28"/>
    </row>
    <row r="101" spans="3:8" x14ac:dyDescent="0.35">
      <c r="C101" s="24" t="s">
        <v>54</v>
      </c>
      <c r="D101" s="25"/>
      <c r="E101" s="29"/>
      <c r="F101" t="s">
        <v>51</v>
      </c>
      <c r="G101" t="s">
        <v>53</v>
      </c>
      <c r="H101" s="28"/>
    </row>
    <row r="102" spans="3:8" x14ac:dyDescent="0.35">
      <c r="C102" s="24" t="s">
        <v>105</v>
      </c>
      <c r="D102" s="26"/>
      <c r="E102" s="29"/>
      <c r="F102" t="s">
        <v>106</v>
      </c>
      <c r="G102" s="26"/>
      <c r="H102" s="28"/>
    </row>
    <row r="103" spans="3:8" x14ac:dyDescent="0.35">
      <c r="C103" s="24" t="s">
        <v>105</v>
      </c>
      <c r="D103" s="26"/>
      <c r="E103" s="29"/>
      <c r="F103" t="s">
        <v>106</v>
      </c>
      <c r="G103" s="26"/>
      <c r="H103" s="28"/>
    </row>
    <row r="104" spans="3:8" x14ac:dyDescent="0.35">
      <c r="C104" s="32" t="s">
        <v>91</v>
      </c>
      <c r="D104" s="33"/>
      <c r="E104" s="34" t="s">
        <v>147</v>
      </c>
      <c r="F104" s="33"/>
      <c r="G104" s="33"/>
      <c r="H104" s="36"/>
    </row>
  </sheetData>
  <dataValidations count="19">
    <dataValidation type="list" allowBlank="1" showInputMessage="1" showErrorMessage="1" sqref="D36:D37" xr:uid="{00D0000F-0098-47BA-8ABC-001F00CC00FD}">
      <formula1>"NH4-N, Ntot"</formula1>
    </dataValidation>
    <dataValidation type="list" allowBlank="1" showInputMessage="1" showErrorMessage="1" sqref="D55:D56" xr:uid="{005B00A5-00D7-4090-8947-00820087001A}">
      <formula1>"Chemical Oxygen Demand (COD), Biological Oxygen Demand (BOD5)"</formula1>
    </dataValidation>
    <dataValidation type="list" allowBlank="1" showInputMessage="1" showErrorMessage="1" sqref="D59:D64" xr:uid="{00A200A5-0013-4FBD-B856-00FD00E80076}">
      <formula1>"WATER, KCL, CACl2, NA"</formula1>
    </dataValidation>
    <dataValidation type="list" allowBlank="1" showInputMessage="1" showErrorMessage="1" sqref="D78" xr:uid="{00B80075-00F8-49BB-B32A-00C700A1008F}">
      <formula1>"sludge age, sludge retention time"</formula1>
    </dataValidation>
    <dataValidation type="list" allowBlank="1" showInputMessage="1" showErrorMessage="1" sqref="D73" xr:uid="{0046004F-0096-442C-B274-0086009400C4}">
      <formula1>"PubMed ID, DOI, other"</formula1>
    </dataValidation>
    <dataValidation type="list" allowBlank="1" showInputMessage="1" showErrorMessage="1" sqref="E104" xr:uid="{001F0009-003A-4CA9-840D-009500D1001D}">
      <formula1>"Sludge, Soil, Sediment, Not specified"</formula1>
    </dataValidation>
    <dataValidation type="list" allowBlank="1" showInputMessage="1" showErrorMessage="1" sqref="F90" xr:uid="{00A80082-00B3-4719-A0AB-000E00060022}">
      <formula1>"µg/L, µg/kg wet soil, µg/kg dry soil, mg/L, mg/kg wet soil, mg/kg dry soil, ppm"</formula1>
    </dataValidation>
    <dataValidation type="list" allowBlank="1" showInputMessage="1" showErrorMessage="1" sqref="E80" xr:uid="{000500C8-0020-4E41-892C-00AB00490054}">
      <formula1>"clay, sandy clay, silty clay, sandy clay loam, sandy loam, silty clay loam, sand, loamy sand, loam, silt loam, silt, clay loam, silty sand, sandy silt loam"</formula1>
    </dataValidation>
    <dataValidation type="list" allowBlank="1" showInputMessage="1" showErrorMessage="1" sqref="E84" xr:uid="{00020027-00D3-4EE5-83C7-0084004F00B4}">
      <formula1>"USDA, UK_ADAS, UK, DE, International"</formula1>
    </dataValidation>
    <dataValidation type="list" allowBlank="1" showInputMessage="1" showErrorMessage="1" sqref="D102:D103" xr:uid="{0019006D-00B8-44F6-B699-00AF00BC00A4}">
      <formula1>"water hold capacity, maximum water storage capacity"</formula1>
    </dataValidation>
    <dataValidation type="list" allowBlank="1" showInputMessage="1" showErrorMessage="1" sqref="G102:G103" xr:uid="{00820080-007B-472E-AB24-00F9007B00BE}">
      <formula1>"0 water bar = pF0, 0.01 bar = pF1.0, 0.03 bar = pF1.5, 0.06 bar = pF1.8, 0.1 bar = pF2.0, 0.2 bar = pF 2.3, 1/3 bar = pF2.5, 0.5 bar = pF2.7, 1.0 bar = pF3.0, 2.5 bar = pF3.4, 15 bar = pF4.2"</formula1>
    </dataValidation>
    <dataValidation type="list" allowBlank="1" showInputMessage="1" showErrorMessage="1" sqref="E67" xr:uid="{00FF000B-005B-474B-B8D2-0092002B00C4}">
      <formula1>"municipal WW, industrial WW, hospital WW, mixed WW (municipal &amp; industrial), other"</formula1>
    </dataValidation>
    <dataValidation type="list" allowBlank="1" showInputMessage="1" showErrorMessage="1" sqref="E6" xr:uid="{00070091-0006-4262-96EE-00DF008F00AA}">
      <formula1>"nitrification, nitrification &amp; denitrification, nitrification &amp; denitrification &amp; biological phosphorus removal, nitrification &amp; denitrification &amp; chemical phosphorus removal, other"</formula1>
    </dataValidation>
    <dataValidation type="list" allowBlank="1" showInputMessage="1" showErrorMessage="1" sqref="F46" xr:uid="{00B700D2-00C1-4BF9-AF2A-0054004000C2}">
      <formula1>"mg/L, %"</formula1>
    </dataValidation>
    <dataValidation type="list" allowBlank="1" showInputMessage="1" showErrorMessage="1" sqref="E68" xr:uid="{000A00ED-000F-4D46-B3E6-008F00CB003C}">
      <formula1>"aerob, oxic, nitrate-reducing, anaerob, anaerob: iron-reducing, anaerob: methanogenic conditions, anaerob: sulfate-reducing"</formula1>
    </dataValidation>
    <dataValidation type="list" allowBlank="1" showInputMessage="1" showErrorMessage="1" sqref="E98" xr:uid="{00840084-001C-40DA-AF96-0010007F003A}">
      <formula1>"stirring, shaking, bubbling air, bubbling air and stirring, other"</formula1>
    </dataValidation>
    <dataValidation type="list" allowBlank="1" showInputMessage="1" showErrorMessage="1" sqref="E3" xr:uid="{002C0015-00A4-4D6A-B5F4-0013006300AB}">
      <formula1>"NH4+, NH4-, NH4-N, NO3-, NO2-, Ntot, PO43-, P-tot, DOC, none"</formula1>
    </dataValidation>
    <dataValidation type="list" allowBlank="1" showInputMessage="1" showErrorMessage="1" sqref="E99" xr:uid="{00670095-00B7-4A2B-B626-00E5006900E5}">
      <formula1>"spiking in solvent, plating, other"</formula1>
    </dataValidation>
    <dataValidation type="list" allowBlank="1" showInputMessage="1" showErrorMessage="1" sqref="E85:E87" xr:uid="{006D00D3-00BF-4D33-965C-00D200240082}">
      <formula1>"MeOH, EtOH, H2O, DMSO, acetone"</formula1>
    </dataValidation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O50"/>
  <sheetViews>
    <sheetView zoomScale="46" zoomScaleNormal="55" workbookViewId="0">
      <selection activeCell="J2" sqref="J2"/>
    </sheetView>
  </sheetViews>
  <sheetFormatPr defaultRowHeight="14.5" x14ac:dyDescent="0.35"/>
  <cols>
    <col min="1" max="1" width="27.08984375" customWidth="1"/>
    <col min="2" max="2" width="22.1796875" customWidth="1"/>
    <col min="3" max="3" width="60.36328125" customWidth="1"/>
    <col min="4" max="4" width="8.6328125" customWidth="1"/>
    <col min="5" max="5" width="11.54296875" customWidth="1"/>
    <col min="6" max="6" width="5.90625" customWidth="1"/>
    <col min="7" max="7" width="11.08984375" customWidth="1"/>
    <col min="8" max="8" width="10.6328125" customWidth="1"/>
    <col min="9" max="9" width="10.1796875" customWidth="1"/>
    <col min="10" max="10" width="66.26953125" bestFit="1" customWidth="1"/>
    <col min="11" max="11" width="33.6328125" bestFit="1" customWidth="1"/>
    <col min="12" max="12" width="33" bestFit="1" customWidth="1"/>
    <col min="13" max="13" width="24.90625" customWidth="1"/>
    <col min="14" max="14" width="22.08984375" customWidth="1"/>
    <col min="15" max="15" width="14.453125" customWidth="1"/>
  </cols>
  <sheetData>
    <row r="1" spans="1:15" x14ac:dyDescent="0.35">
      <c r="A1" s="10" t="s">
        <v>148</v>
      </c>
      <c r="B1" s="10" t="s">
        <v>149</v>
      </c>
      <c r="C1" s="10" t="s">
        <v>11</v>
      </c>
      <c r="D1" s="10" t="s">
        <v>150</v>
      </c>
      <c r="E1" s="10" t="s">
        <v>25</v>
      </c>
      <c r="F1" s="10" t="s">
        <v>26</v>
      </c>
      <c r="G1" s="10" t="s">
        <v>151</v>
      </c>
      <c r="H1" s="10" t="s">
        <v>152</v>
      </c>
      <c r="I1" s="10" t="s">
        <v>153</v>
      </c>
      <c r="J1" s="10" t="s">
        <v>164</v>
      </c>
      <c r="K1" s="10" t="s">
        <v>154</v>
      </c>
      <c r="L1" s="10" t="s">
        <v>155</v>
      </c>
      <c r="M1" s="10" t="s">
        <v>165</v>
      </c>
      <c r="N1" s="10" t="s">
        <v>156</v>
      </c>
      <c r="O1" s="10" t="s">
        <v>22</v>
      </c>
    </row>
    <row r="2" spans="1:15" x14ac:dyDescent="0.35">
      <c r="A2" t="str">
        <f>Description!$B$5</f>
        <v>e.g. Geng &amp; Helbling, 2026</v>
      </c>
      <c r="B2" s="15"/>
      <c r="C2">
        <f>_xlfn.XLOOKUP(B2,Compounds!$B$2:$B$50,Compounds!$C$2:$C$50)</f>
        <v>0</v>
      </c>
      <c r="E2" s="15"/>
      <c r="G2" s="15"/>
      <c r="H2" s="51"/>
      <c r="K2" s="52"/>
      <c r="M2" s="51"/>
      <c r="N2" s="51"/>
    </row>
    <row r="3" spans="1:15" x14ac:dyDescent="0.35">
      <c r="A3" t="str">
        <f>Description!$B$5</f>
        <v>e.g. Geng &amp; Helbling, 2026</v>
      </c>
      <c r="B3" s="15"/>
      <c r="C3">
        <f>_xlfn.XLOOKUP(B3,Compounds!$B$2:$B$50,Compounds!$C$2:$C$50)</f>
        <v>0</v>
      </c>
      <c r="E3" s="15"/>
      <c r="G3" s="15"/>
      <c r="H3" s="51"/>
      <c r="K3" s="52"/>
      <c r="M3" s="51"/>
      <c r="N3" s="51"/>
    </row>
    <row r="4" spans="1:15" x14ac:dyDescent="0.35">
      <c r="A4" t="str">
        <f>Description!$B$5</f>
        <v>e.g. Geng &amp; Helbling, 2026</v>
      </c>
      <c r="B4" s="15"/>
      <c r="C4">
        <f>_xlfn.XLOOKUP(B4,Compounds!$B$2:$B$50,Compounds!$C$2:$C$50)</f>
        <v>0</v>
      </c>
      <c r="E4" s="15"/>
      <c r="G4" s="15"/>
      <c r="H4" s="51"/>
      <c r="K4" s="52"/>
      <c r="M4" s="51"/>
      <c r="N4" s="51"/>
    </row>
    <row r="5" spans="1:15" x14ac:dyDescent="0.35">
      <c r="A5" t="str">
        <f>Description!$B$5</f>
        <v>e.g. Geng &amp; Helbling, 2026</v>
      </c>
      <c r="B5" s="15"/>
      <c r="C5">
        <f>_xlfn.XLOOKUP(B5,Compounds!$B$2:$B$50,Compounds!$C$2:$C$50)</f>
        <v>0</v>
      </c>
      <c r="E5" s="15"/>
      <c r="G5" s="15"/>
      <c r="H5" s="51"/>
      <c r="K5" s="52"/>
      <c r="M5" s="51"/>
      <c r="N5" s="51"/>
    </row>
    <row r="6" spans="1:15" x14ac:dyDescent="0.35">
      <c r="A6" t="str">
        <f>Description!$B$5</f>
        <v>e.g. Geng &amp; Helbling, 2026</v>
      </c>
      <c r="B6" s="15"/>
      <c r="C6">
        <f>_xlfn.XLOOKUP(B6,Compounds!$B$2:$B$50,Compounds!$C$2:$C$50)</f>
        <v>0</v>
      </c>
      <c r="E6" s="15"/>
      <c r="G6" s="15"/>
      <c r="H6" s="51"/>
      <c r="K6" s="52"/>
      <c r="M6" s="51"/>
      <c r="N6" s="51"/>
    </row>
    <row r="7" spans="1:15" x14ac:dyDescent="0.35">
      <c r="A7" t="str">
        <f>Description!$B$5</f>
        <v>e.g. Geng &amp; Helbling, 2026</v>
      </c>
      <c r="B7" s="15"/>
      <c r="C7">
        <f>_xlfn.XLOOKUP(B7,Compounds!$B$2:$B$50,Compounds!$C$2:$C$50)</f>
        <v>0</v>
      </c>
      <c r="E7" s="15"/>
      <c r="G7" s="15"/>
      <c r="H7" s="51"/>
      <c r="K7" s="52"/>
      <c r="M7" s="51"/>
      <c r="N7" s="51"/>
    </row>
    <row r="8" spans="1:15" x14ac:dyDescent="0.35">
      <c r="A8" t="str">
        <f>Description!$B$5</f>
        <v>e.g. Geng &amp; Helbling, 2026</v>
      </c>
      <c r="B8" s="16"/>
      <c r="C8">
        <f>_xlfn.XLOOKUP(B8,Compounds!$B$2:$B$50,Compounds!$C$2:$C$50)</f>
        <v>0</v>
      </c>
      <c r="E8" s="15"/>
      <c r="G8" s="15"/>
      <c r="H8" s="51"/>
      <c r="K8" s="52"/>
      <c r="L8" s="52"/>
      <c r="M8" s="51"/>
      <c r="N8" s="51"/>
    </row>
    <row r="9" spans="1:15" x14ac:dyDescent="0.35">
      <c r="A9" t="str">
        <f>Description!$B$5</f>
        <v>e.g. Geng &amp; Helbling, 2026</v>
      </c>
      <c r="B9" s="16"/>
      <c r="C9">
        <f>_xlfn.XLOOKUP(B9,Compounds!$B$2:$B$50,Compounds!$C$2:$C$50)</f>
        <v>0</v>
      </c>
      <c r="E9" s="15"/>
      <c r="G9" s="15"/>
      <c r="H9" s="51"/>
      <c r="K9" s="52"/>
      <c r="L9" s="52"/>
      <c r="M9" s="51"/>
      <c r="N9" s="51"/>
    </row>
    <row r="10" spans="1:15" x14ac:dyDescent="0.35">
      <c r="A10" t="str">
        <f>Description!$B$5</f>
        <v>e.g. Geng &amp; Helbling, 2026</v>
      </c>
      <c r="B10" s="15"/>
      <c r="C10">
        <f>_xlfn.XLOOKUP(B10,Compounds!$B$2:$B$50,Compounds!$C$2:$C$50)</f>
        <v>0</v>
      </c>
      <c r="E10" s="15"/>
      <c r="G10" s="15"/>
      <c r="H10" s="51"/>
      <c r="I10" s="52"/>
      <c r="J10" s="52"/>
      <c r="K10" s="52"/>
      <c r="L10" s="52"/>
      <c r="M10" s="51"/>
      <c r="N10" s="51"/>
    </row>
    <row r="11" spans="1:15" x14ac:dyDescent="0.35">
      <c r="A11" t="str">
        <f>Description!$B$5</f>
        <v>e.g. Geng &amp; Helbling, 2026</v>
      </c>
      <c r="B11" s="15"/>
      <c r="C11">
        <f>_xlfn.XLOOKUP(B11,Compounds!$B$2:$B$50,Compounds!$C$2:$C$50)</f>
        <v>0</v>
      </c>
      <c r="E11" s="15"/>
      <c r="G11" s="15"/>
      <c r="H11" s="51"/>
      <c r="I11" s="52"/>
      <c r="J11" s="52"/>
      <c r="K11" s="52"/>
      <c r="L11" s="52"/>
      <c r="M11" s="51"/>
      <c r="N11" s="51"/>
    </row>
    <row r="12" spans="1:15" x14ac:dyDescent="0.35">
      <c r="A12" t="str">
        <f>Description!$B$5</f>
        <v>e.g. Geng &amp; Helbling, 2026</v>
      </c>
      <c r="B12" s="15"/>
      <c r="C12">
        <f>_xlfn.XLOOKUP(B12,Compounds!$B$2:$B$50,Compounds!$C$2:$C$50)</f>
        <v>0</v>
      </c>
      <c r="E12" s="15"/>
      <c r="G12" s="15"/>
      <c r="H12" s="51"/>
      <c r="I12" s="52"/>
      <c r="J12" s="52"/>
      <c r="K12" s="52"/>
      <c r="L12" s="52"/>
      <c r="M12" s="51"/>
      <c r="N12" s="51"/>
    </row>
    <row r="13" spans="1:15" x14ac:dyDescent="0.35">
      <c r="A13" t="str">
        <f>Description!$B$5</f>
        <v>e.g. Geng &amp; Helbling, 2026</v>
      </c>
      <c r="B13" s="15"/>
      <c r="C13">
        <f>_xlfn.XLOOKUP(B13,Compounds!$B$2:$B$50,Compounds!$C$2:$C$50)</f>
        <v>0</v>
      </c>
      <c r="E13" s="15"/>
      <c r="G13" s="15"/>
      <c r="H13" s="51"/>
      <c r="I13" s="52"/>
      <c r="J13" s="52"/>
      <c r="K13" s="52"/>
      <c r="L13" s="52"/>
      <c r="M13" s="51"/>
      <c r="N13" s="51"/>
    </row>
    <row r="14" spans="1:15" x14ac:dyDescent="0.35">
      <c r="A14" t="str">
        <f>Description!$B$5</f>
        <v>e.g. Geng &amp; Helbling, 2026</v>
      </c>
      <c r="B14" s="15"/>
      <c r="C14">
        <f>_xlfn.XLOOKUP(B14,Compounds!$B$2:$B$50,Compounds!$C$2:$C$50)</f>
        <v>0</v>
      </c>
      <c r="E14" s="15"/>
      <c r="G14" s="15"/>
      <c r="H14" s="51"/>
      <c r="I14" s="52"/>
      <c r="J14" s="52"/>
      <c r="K14" s="52"/>
      <c r="L14" s="52"/>
      <c r="M14" s="51"/>
      <c r="N14" s="51"/>
    </row>
    <row r="15" spans="1:15" x14ac:dyDescent="0.35">
      <c r="A15" t="str">
        <f>Description!$B$5</f>
        <v>e.g. Geng &amp; Helbling, 2026</v>
      </c>
      <c r="B15" s="16"/>
      <c r="C15">
        <f>_xlfn.XLOOKUP(B15,Compounds!$B$2:$B$50,Compounds!$C$2:$C$50)</f>
        <v>0</v>
      </c>
      <c r="E15" s="15"/>
      <c r="G15" s="15"/>
      <c r="H15" s="51"/>
      <c r="I15" s="52"/>
      <c r="J15" s="52"/>
      <c r="K15" s="52"/>
      <c r="L15" s="52"/>
      <c r="M15" s="51"/>
      <c r="N15" s="51"/>
    </row>
    <row r="16" spans="1:15" x14ac:dyDescent="0.35">
      <c r="A16" t="str">
        <f>Description!$B$5</f>
        <v>e.g. Geng &amp; Helbling, 2026</v>
      </c>
      <c r="B16" s="16"/>
      <c r="C16">
        <f>_xlfn.XLOOKUP(B16,Compounds!$B$2:$B$50,Compounds!$C$2:$C$50)</f>
        <v>0</v>
      </c>
      <c r="E16" s="15"/>
      <c r="G16" s="15"/>
      <c r="H16" s="51"/>
      <c r="I16" s="52"/>
      <c r="J16" s="52"/>
      <c r="K16" s="52"/>
      <c r="L16" s="52"/>
      <c r="M16" s="51"/>
      <c r="N16" s="51"/>
    </row>
    <row r="17" spans="1:14" x14ac:dyDescent="0.35">
      <c r="A17" t="str">
        <f>Description!$B$5</f>
        <v>e.g. Geng &amp; Helbling, 2026</v>
      </c>
      <c r="B17" s="16"/>
      <c r="C17">
        <f>_xlfn.XLOOKUP(B17,Compounds!$B$2:$B$50,Compounds!$C$2:$C$50)</f>
        <v>0</v>
      </c>
      <c r="E17" s="15"/>
      <c r="G17" s="15"/>
      <c r="H17" s="51"/>
      <c r="I17" s="52"/>
      <c r="J17" s="52"/>
      <c r="K17" s="52"/>
      <c r="L17" s="52"/>
      <c r="M17" s="51"/>
      <c r="N17" s="51"/>
    </row>
    <row r="18" spans="1:14" x14ac:dyDescent="0.35">
      <c r="A18" t="str">
        <f>Description!$B$5</f>
        <v>e.g. Geng &amp; Helbling, 2026</v>
      </c>
      <c r="B18" s="16"/>
      <c r="C18">
        <f>_xlfn.XLOOKUP(B18,Compounds!$B$2:$B$50,Compounds!$C$2:$C$50)</f>
        <v>0</v>
      </c>
      <c r="E18" s="15"/>
      <c r="G18" s="15"/>
      <c r="H18" s="51"/>
      <c r="I18" s="52"/>
      <c r="J18" s="52"/>
      <c r="K18" s="52"/>
      <c r="L18" s="52"/>
      <c r="M18" s="51"/>
      <c r="N18" s="51"/>
    </row>
    <row r="19" spans="1:14" x14ac:dyDescent="0.35">
      <c r="A19" t="str">
        <f>Description!$B$5</f>
        <v>e.g. Geng &amp; Helbling, 2026</v>
      </c>
      <c r="B19" s="16"/>
      <c r="C19">
        <f>_xlfn.XLOOKUP(B19,Compounds!$B$2:$B$50,Compounds!$C$2:$C$50)</f>
        <v>0</v>
      </c>
      <c r="E19" s="15"/>
      <c r="G19" s="15"/>
      <c r="H19" s="51"/>
      <c r="I19" s="52"/>
      <c r="J19" s="52"/>
      <c r="K19" s="52"/>
      <c r="L19" s="52"/>
      <c r="M19" s="51"/>
      <c r="N19" s="51"/>
    </row>
    <row r="20" spans="1:14" x14ac:dyDescent="0.35">
      <c r="A20" t="str">
        <f>Description!$B$5</f>
        <v>e.g. Geng &amp; Helbling, 2026</v>
      </c>
      <c r="B20" s="16"/>
      <c r="C20">
        <f>_xlfn.XLOOKUP(B20,Compounds!$B$2:$B$50,Compounds!$C$2:$C$50)</f>
        <v>0</v>
      </c>
      <c r="E20" s="15"/>
      <c r="G20" s="15"/>
      <c r="H20" s="51"/>
      <c r="I20" s="52"/>
      <c r="J20" s="52"/>
      <c r="K20" s="52"/>
      <c r="L20" s="52"/>
      <c r="M20" s="51"/>
      <c r="N20" s="51"/>
    </row>
    <row r="21" spans="1:14" x14ac:dyDescent="0.35">
      <c r="A21" t="str">
        <f>Description!$B$5</f>
        <v>e.g. Geng &amp; Helbling, 2026</v>
      </c>
      <c r="B21" s="15"/>
      <c r="C21">
        <f>_xlfn.XLOOKUP(B21,Compounds!$B$2:$B$50,Compounds!$C$2:$C$50)</f>
        <v>0</v>
      </c>
      <c r="E21" s="15"/>
      <c r="G21" s="15"/>
      <c r="H21" s="51"/>
      <c r="I21" s="52"/>
      <c r="J21" s="52"/>
      <c r="K21" s="52"/>
      <c r="L21" s="52"/>
      <c r="M21" s="51"/>
      <c r="N21" s="51"/>
    </row>
    <row r="22" spans="1:14" x14ac:dyDescent="0.35">
      <c r="A22" t="str">
        <f>Description!$B$5</f>
        <v>e.g. Geng &amp; Helbling, 2026</v>
      </c>
      <c r="B22" s="16"/>
      <c r="C22">
        <f>_xlfn.XLOOKUP(B22,Compounds!$B$2:$B$50,Compounds!$C$2:$C$50)</f>
        <v>0</v>
      </c>
      <c r="E22" s="15"/>
      <c r="G22" s="15"/>
      <c r="H22" s="51"/>
      <c r="I22" s="52"/>
      <c r="J22" s="52"/>
      <c r="K22" s="52"/>
      <c r="L22" s="52"/>
      <c r="M22" s="51"/>
      <c r="N22" s="51"/>
    </row>
    <row r="23" spans="1:14" x14ac:dyDescent="0.35">
      <c r="A23" t="str">
        <f>Description!$B$5</f>
        <v>e.g. Geng &amp; Helbling, 2026</v>
      </c>
      <c r="B23" s="16"/>
      <c r="C23">
        <f>_xlfn.XLOOKUP(B23,Compounds!$B$2:$B$50,Compounds!$C$2:$C$50)</f>
        <v>0</v>
      </c>
      <c r="E23" s="15"/>
      <c r="G23" s="15"/>
      <c r="H23" s="51"/>
      <c r="I23" s="52"/>
      <c r="J23" s="52"/>
      <c r="K23" s="52"/>
      <c r="L23" s="52"/>
      <c r="M23" s="51"/>
      <c r="N23" s="51"/>
    </row>
    <row r="24" spans="1:14" x14ac:dyDescent="0.35">
      <c r="A24" t="str">
        <f>Description!$B$5</f>
        <v>e.g. Geng &amp; Helbling, 2026</v>
      </c>
      <c r="B24" s="16"/>
      <c r="C24">
        <f>_xlfn.XLOOKUP(B24,Compounds!$B$2:$B$50,Compounds!$C$2:$C$50)</f>
        <v>0</v>
      </c>
      <c r="E24" s="15"/>
      <c r="G24" s="15"/>
      <c r="H24" s="51"/>
      <c r="I24" s="52"/>
      <c r="J24" s="52"/>
      <c r="K24" s="52"/>
      <c r="L24" s="52"/>
      <c r="M24" s="51"/>
      <c r="N24" s="51"/>
    </row>
    <row r="25" spans="1:14" x14ac:dyDescent="0.35">
      <c r="A25" t="str">
        <f>Description!$B$5</f>
        <v>e.g. Geng &amp; Helbling, 2026</v>
      </c>
      <c r="B25" s="16"/>
      <c r="C25">
        <f>_xlfn.XLOOKUP(B25,Compounds!$B$2:$B$50,Compounds!$C$2:$C$50)</f>
        <v>0</v>
      </c>
      <c r="E25" s="15"/>
      <c r="G25" s="15"/>
      <c r="H25" s="51"/>
      <c r="I25" s="52"/>
      <c r="J25" s="52"/>
      <c r="K25" s="52"/>
      <c r="L25" s="52"/>
      <c r="M25" s="51"/>
      <c r="N25" s="51"/>
    </row>
    <row r="26" spans="1:14" x14ac:dyDescent="0.35">
      <c r="A26" t="str">
        <f>Description!$B$5</f>
        <v>e.g. Geng &amp; Helbling, 2026</v>
      </c>
      <c r="B26" s="15"/>
      <c r="C26">
        <f>_xlfn.XLOOKUP(B26,Compounds!$B$2:$B$50,Compounds!$C$2:$C$50)</f>
        <v>0</v>
      </c>
      <c r="E26" s="15"/>
      <c r="G26" s="15"/>
      <c r="H26" s="51"/>
      <c r="M26" s="51"/>
      <c r="N26" s="51"/>
    </row>
    <row r="27" spans="1:14" x14ac:dyDescent="0.35">
      <c r="A27" t="str">
        <f>Description!$B$5</f>
        <v>e.g. Geng &amp; Helbling, 2026</v>
      </c>
      <c r="B27" s="15"/>
      <c r="C27">
        <f>_xlfn.XLOOKUP(B27,Compounds!$B$2:$B$50,Compounds!$C$2:$C$50)</f>
        <v>0</v>
      </c>
      <c r="E27" s="15"/>
      <c r="G27" s="15"/>
      <c r="H27" s="51"/>
      <c r="M27" s="51"/>
      <c r="N27" s="51"/>
    </row>
    <row r="28" spans="1:14" x14ac:dyDescent="0.35">
      <c r="A28" t="str">
        <f>Description!$B$5</f>
        <v>e.g. Geng &amp; Helbling, 2026</v>
      </c>
      <c r="B28" s="15"/>
      <c r="C28">
        <f>_xlfn.XLOOKUP(B28,Compounds!$B$2:$B$50,Compounds!$C$2:$C$50)</f>
        <v>0</v>
      </c>
      <c r="E28" s="15"/>
      <c r="G28" s="15"/>
      <c r="H28" s="51"/>
      <c r="M28" s="51"/>
      <c r="N28" s="51"/>
    </row>
    <row r="29" spans="1:14" x14ac:dyDescent="0.35">
      <c r="A29" t="str">
        <f>Description!$B$5</f>
        <v>e.g. Geng &amp; Helbling, 2026</v>
      </c>
      <c r="B29" s="15"/>
      <c r="C29">
        <f>_xlfn.XLOOKUP(B29,Compounds!$B$2:$B$50,Compounds!$C$2:$C$50)</f>
        <v>0</v>
      </c>
      <c r="E29" s="15"/>
      <c r="G29" s="15"/>
      <c r="H29" s="51"/>
      <c r="M29" s="51"/>
      <c r="N29" s="51"/>
    </row>
    <row r="30" spans="1:14" x14ac:dyDescent="0.35">
      <c r="A30" t="str">
        <f>Description!$B$5</f>
        <v>e.g. Geng &amp; Helbling, 2026</v>
      </c>
      <c r="B30" s="15"/>
      <c r="C30">
        <f>_xlfn.XLOOKUP(B30,Compounds!$B$2:$B$50,Compounds!$C$2:$C$50)</f>
        <v>0</v>
      </c>
      <c r="E30" s="15"/>
      <c r="G30" s="15"/>
      <c r="H30" s="51"/>
      <c r="M30" s="51"/>
      <c r="N30" s="51"/>
    </row>
    <row r="31" spans="1:14" x14ac:dyDescent="0.35">
      <c r="A31" t="str">
        <f>Description!$B$5</f>
        <v>e.g. Geng &amp; Helbling, 2026</v>
      </c>
      <c r="B31" s="15"/>
      <c r="C31">
        <f>_xlfn.XLOOKUP(B31,Compounds!$B$2:$B$50,Compounds!$C$2:$C$50)</f>
        <v>0</v>
      </c>
      <c r="E31" s="15"/>
      <c r="G31" s="15"/>
      <c r="H31" s="51"/>
      <c r="M31" s="51"/>
      <c r="N31" s="51"/>
    </row>
    <row r="32" spans="1:14" x14ac:dyDescent="0.35">
      <c r="A32" t="str">
        <f>Description!$B$5</f>
        <v>e.g. Geng &amp; Helbling, 2026</v>
      </c>
      <c r="B32" s="16"/>
      <c r="C32">
        <f>_xlfn.XLOOKUP(B32,Compounds!$B$2:$B$50,Compounds!$C$2:$C$50)</f>
        <v>0</v>
      </c>
      <c r="E32" s="15"/>
      <c r="G32" s="15"/>
      <c r="H32" s="51"/>
      <c r="M32" s="51"/>
      <c r="N32" s="51"/>
    </row>
    <row r="33" spans="1:14" x14ac:dyDescent="0.35">
      <c r="A33" t="str">
        <f>Description!$B$5</f>
        <v>e.g. Geng &amp; Helbling, 2026</v>
      </c>
      <c r="B33" s="16"/>
      <c r="C33">
        <f>_xlfn.XLOOKUP(B33,Compounds!$B$2:$B$50,Compounds!$C$2:$C$50)</f>
        <v>0</v>
      </c>
      <c r="E33" s="15"/>
      <c r="G33" s="15"/>
      <c r="H33" s="51"/>
      <c r="M33" s="51"/>
      <c r="N33" s="51"/>
    </row>
    <row r="34" spans="1:14" x14ac:dyDescent="0.35">
      <c r="A34" t="str">
        <f>Description!$B$5</f>
        <v>e.g. Geng &amp; Helbling, 2026</v>
      </c>
      <c r="B34" s="15"/>
      <c r="C34">
        <f>_xlfn.XLOOKUP(B34,Compounds!$B$2:$B$50,Compounds!$C$2:$C$50)</f>
        <v>0</v>
      </c>
      <c r="E34" s="15"/>
      <c r="G34" s="15"/>
      <c r="H34" s="51"/>
      <c r="M34" s="51"/>
      <c r="N34" s="51"/>
    </row>
    <row r="35" spans="1:14" x14ac:dyDescent="0.35">
      <c r="A35" t="str">
        <f>Description!$B$5</f>
        <v>e.g. Geng &amp; Helbling, 2026</v>
      </c>
      <c r="B35" s="15"/>
      <c r="C35">
        <f>_xlfn.XLOOKUP(B35,Compounds!$B$2:$B$50,Compounds!$C$2:$C$50)</f>
        <v>0</v>
      </c>
      <c r="E35" s="15"/>
      <c r="G35" s="15"/>
      <c r="H35" s="51"/>
      <c r="M35" s="51"/>
      <c r="N35" s="51"/>
    </row>
    <row r="36" spans="1:14" x14ac:dyDescent="0.35">
      <c r="A36" t="str">
        <f>Description!$B$5</f>
        <v>e.g. Geng &amp; Helbling, 2026</v>
      </c>
      <c r="B36" s="15"/>
      <c r="C36">
        <f>_xlfn.XLOOKUP(B36,Compounds!$B$2:$B$50,Compounds!$C$2:$C$50)</f>
        <v>0</v>
      </c>
      <c r="E36" s="15"/>
      <c r="G36" s="15"/>
      <c r="H36" s="51"/>
      <c r="M36" s="51"/>
      <c r="N36" s="51"/>
    </row>
    <row r="37" spans="1:14" x14ac:dyDescent="0.35">
      <c r="A37" t="str">
        <f>Description!$B$5</f>
        <v>e.g. Geng &amp; Helbling, 2026</v>
      </c>
      <c r="B37" s="15"/>
      <c r="C37">
        <f>_xlfn.XLOOKUP(B37,Compounds!$B$2:$B$50,Compounds!$C$2:$C$50)</f>
        <v>0</v>
      </c>
      <c r="E37" s="15"/>
      <c r="G37" s="15"/>
      <c r="H37" s="51"/>
      <c r="M37" s="51"/>
      <c r="N37" s="51"/>
    </row>
    <row r="38" spans="1:14" x14ac:dyDescent="0.35">
      <c r="A38" t="str">
        <f>Description!$B$5</f>
        <v>e.g. Geng &amp; Helbling, 2026</v>
      </c>
      <c r="B38" s="15"/>
      <c r="C38">
        <f>_xlfn.XLOOKUP(B38,Compounds!$B$2:$B$50,Compounds!$C$2:$C$50)</f>
        <v>0</v>
      </c>
      <c r="E38" s="15"/>
      <c r="G38" s="15"/>
      <c r="H38" s="51"/>
      <c r="M38" s="51"/>
      <c r="N38" s="51"/>
    </row>
    <row r="39" spans="1:14" x14ac:dyDescent="0.35">
      <c r="A39" t="str">
        <f>Description!$B$5</f>
        <v>e.g. Geng &amp; Helbling, 2026</v>
      </c>
      <c r="B39" s="16"/>
      <c r="C39">
        <f>_xlfn.XLOOKUP(B39,Compounds!$B$2:$B$50,Compounds!$C$2:$C$50)</f>
        <v>0</v>
      </c>
      <c r="E39" s="15"/>
      <c r="G39" s="15"/>
      <c r="H39" s="51"/>
      <c r="M39" s="51"/>
      <c r="N39" s="51"/>
    </row>
    <row r="40" spans="1:14" x14ac:dyDescent="0.35">
      <c r="A40" t="str">
        <f>Description!$B$5</f>
        <v>e.g. Geng &amp; Helbling, 2026</v>
      </c>
      <c r="B40" s="16"/>
      <c r="C40">
        <f>_xlfn.XLOOKUP(B40,Compounds!$B$2:$B$50,Compounds!$C$2:$C$50)</f>
        <v>0</v>
      </c>
      <c r="E40" s="15"/>
      <c r="G40" s="15"/>
      <c r="H40" s="51"/>
      <c r="M40" s="51"/>
      <c r="N40" s="51"/>
    </row>
    <row r="41" spans="1:14" x14ac:dyDescent="0.35">
      <c r="A41" t="str">
        <f>Description!$B$5</f>
        <v>e.g. Geng &amp; Helbling, 2026</v>
      </c>
      <c r="B41" s="16"/>
      <c r="C41">
        <f>_xlfn.XLOOKUP(B41,Compounds!$B$2:$B$50,Compounds!$C$2:$C$50)</f>
        <v>0</v>
      </c>
      <c r="E41" s="15"/>
      <c r="G41" s="15"/>
      <c r="H41" s="51"/>
      <c r="M41" s="51"/>
      <c r="N41" s="51"/>
    </row>
    <row r="42" spans="1:14" x14ac:dyDescent="0.35">
      <c r="A42" t="str">
        <f>Description!$B$5</f>
        <v>e.g. Geng &amp; Helbling, 2026</v>
      </c>
      <c r="B42" s="16"/>
      <c r="C42">
        <f>_xlfn.XLOOKUP(B42,Compounds!$B$2:$B$50,Compounds!$C$2:$C$50)</f>
        <v>0</v>
      </c>
      <c r="E42" s="15"/>
      <c r="G42" s="15"/>
      <c r="H42" s="51"/>
      <c r="M42" s="51"/>
      <c r="N42" s="51"/>
    </row>
    <row r="43" spans="1:14" x14ac:dyDescent="0.35">
      <c r="A43" t="str">
        <f>Description!$B$5</f>
        <v>e.g. Geng &amp; Helbling, 2026</v>
      </c>
      <c r="B43" s="16"/>
      <c r="C43">
        <f>_xlfn.XLOOKUP(B43,Compounds!$B$2:$B$50,Compounds!$C$2:$C$50)</f>
        <v>0</v>
      </c>
      <c r="E43" s="15"/>
      <c r="G43" s="15"/>
      <c r="H43" s="51"/>
      <c r="M43" s="51"/>
      <c r="N43" s="51"/>
    </row>
    <row r="44" spans="1:14" x14ac:dyDescent="0.35">
      <c r="A44" t="str">
        <f>Description!$B$5</f>
        <v>e.g. Geng &amp; Helbling, 2026</v>
      </c>
      <c r="B44" s="16"/>
      <c r="C44">
        <f>_xlfn.XLOOKUP(B44,Compounds!$B$2:$B$50,Compounds!$C$2:$C$50)</f>
        <v>0</v>
      </c>
      <c r="E44" s="15"/>
      <c r="G44" s="15"/>
      <c r="H44" s="51"/>
      <c r="M44" s="51"/>
      <c r="N44" s="51"/>
    </row>
    <row r="45" spans="1:14" x14ac:dyDescent="0.35">
      <c r="A45" t="str">
        <f>Description!$B$5</f>
        <v>e.g. Geng &amp; Helbling, 2026</v>
      </c>
      <c r="B45" s="15"/>
      <c r="C45">
        <f>_xlfn.XLOOKUP(B45,Compounds!$B$2:$B$50,Compounds!$C$2:$C$50)</f>
        <v>0</v>
      </c>
      <c r="E45" s="15"/>
      <c r="G45" s="15"/>
      <c r="H45" s="51"/>
      <c r="M45" s="51"/>
      <c r="N45" s="51"/>
    </row>
    <row r="46" spans="1:14" x14ac:dyDescent="0.35">
      <c r="A46" t="str">
        <f>Description!$B$5</f>
        <v>e.g. Geng &amp; Helbling, 2026</v>
      </c>
      <c r="B46" s="16"/>
      <c r="C46">
        <f>_xlfn.XLOOKUP(B46,Compounds!$B$2:$B$50,Compounds!$C$2:$C$50)</f>
        <v>0</v>
      </c>
      <c r="E46" s="15"/>
      <c r="G46" s="15"/>
      <c r="H46" s="51"/>
      <c r="M46" s="51"/>
      <c r="N46" s="51"/>
    </row>
    <row r="47" spans="1:14" x14ac:dyDescent="0.35">
      <c r="A47" t="str">
        <f>Description!$B$5</f>
        <v>e.g. Geng &amp; Helbling, 2026</v>
      </c>
      <c r="B47" s="16"/>
      <c r="C47">
        <f>_xlfn.XLOOKUP(B47,Compounds!$B$2:$B$50,Compounds!$C$2:$C$50)</f>
        <v>0</v>
      </c>
      <c r="E47" s="15"/>
      <c r="G47" s="15"/>
      <c r="H47" s="51"/>
      <c r="M47" s="51"/>
      <c r="N47" s="51"/>
    </row>
    <row r="48" spans="1:14" x14ac:dyDescent="0.35">
      <c r="A48" t="str">
        <f>Description!$B$5</f>
        <v>e.g. Geng &amp; Helbling, 2026</v>
      </c>
      <c r="B48" s="16"/>
      <c r="C48">
        <f>_xlfn.XLOOKUP(B48,Compounds!$B$2:$B$50,Compounds!$C$2:$C$50)</f>
        <v>0</v>
      </c>
      <c r="E48" s="15"/>
      <c r="G48" s="15"/>
      <c r="H48" s="51"/>
      <c r="M48" s="51"/>
      <c r="N48" s="51"/>
    </row>
    <row r="49" spans="1:14" x14ac:dyDescent="0.35">
      <c r="A49" t="str">
        <f>Description!$B$5</f>
        <v>e.g. Geng &amp; Helbling, 2026</v>
      </c>
      <c r="B49" s="16"/>
      <c r="C49">
        <f>_xlfn.XLOOKUP(B49,Compounds!$B$2:$B$50,Compounds!$C$2:$C$50)</f>
        <v>0</v>
      </c>
      <c r="E49" s="15"/>
      <c r="G49" s="15"/>
      <c r="H49" s="51"/>
      <c r="M49" s="51"/>
      <c r="N49" s="51"/>
    </row>
    <row r="50" spans="1:14" x14ac:dyDescent="0.35">
      <c r="A50" t="str">
        <f>Description!$B$5</f>
        <v>e.g. Geng &amp; Helbling, 2026</v>
      </c>
      <c r="B50" s="15"/>
      <c r="C50">
        <f>_xlfn.XLOOKUP(B50,Compounds!$B$2:$B$50,Compounds!$C$2:$C$50)</f>
        <v>0</v>
      </c>
      <c r="E50" s="15"/>
      <c r="G50" s="15"/>
      <c r="H50" s="51"/>
      <c r="M50" s="51"/>
      <c r="N50" s="51"/>
    </row>
  </sheetData>
  <dataValidations count="9">
    <dataValidation allowBlank="1" showInputMessage="1" showErrorMessage="1" promptTitle="Parameter" prompt="Reported kinetic parameter - either Half-life or Rate constant." sqref="E1" xr:uid="{00000000-0002-0000-0700-000001000000}"/>
    <dataValidation allowBlank="1" showInputMessage="1" showErrorMessage="1" promptTitle="Model" prompt="Model used to generate the kinetic parameter - i.e. &quot;first-order&quot;" sqref="D1 D4:D9" xr:uid="{00000000-0002-0000-0700-000002000000}"/>
    <dataValidation allowBlank="1" showInputMessage="1" showErrorMessage="1" promptTitle="Value Unit" prompt="Units for input kinetic parameter - usually d for Half-lives and 1/d for rate constants" sqref="G1" xr:uid="{00000000-0002-0000-0700-000003000000}"/>
    <dataValidation allowBlank="1" showInputMessage="1" showErrorMessage="1" promptTitle="Proposed Intermediate" prompt="If detected compound is a proposed intermediate, please note that here by choosing &quot;proposed.&quot;" sqref="N1" xr:uid="{00000000-0002-0000-0700-000004000000}"/>
    <dataValidation type="list" allowBlank="1" showInputMessage="1" showErrorMessage="1" sqref="E2:E50" xr:uid="{00AB009D-0076-4EFF-B3BC-00F200E3003E}">
      <formula1>"Half-life, Rate constant, NA"</formula1>
    </dataValidation>
    <dataValidation type="list" allowBlank="1" showInputMessage="1" showErrorMessage="1" sqref="H2:H50" xr:uid="{003A0070-00CE-4E55-9A22-00B900B100DA}">
      <formula1>"sorption corrected, abiotic degradation corrected, sorption corrected &amp; abiotic degradation corrected, NA"</formula1>
    </dataValidation>
    <dataValidation type="list" allowBlank="1" showInputMessage="1" showErrorMessage="1" sqref="N2:N50" xr:uid="{009000CA-00AE-430D-8EA6-001800560037}">
      <formula1>"proposed, NA"</formula1>
    </dataValidation>
    <dataValidation type="list" allowBlank="1" showInputMessage="1" showErrorMessage="1" sqref="G2:G50" xr:uid="{00990073-002B-4B5B-8135-0058009C00D2}">
      <formula1>"d, 1/d, NA"</formula1>
    </dataValidation>
    <dataValidation type="list" allowBlank="1" showInputMessage="1" showErrorMessage="1" sqref="M2:M50" xr:uid="{72CD723F-ED44-4FD8-A2A7-B73F32BECB7C}">
      <formula1>"major, minor, NA"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6F437-ED51-4E08-A10E-2FE067B8FB0D}">
          <x14:formula1>
            <xm:f>Compounds!$B$2:$B$50</xm:f>
          </x14:formula1>
          <xm:sqref>B2:B50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Description</vt:lpstr>
      <vt:lpstr>Compounds</vt:lpstr>
      <vt:lpstr>Connectivity</vt:lpstr>
      <vt:lpstr>Scenario_Sludge</vt:lpstr>
      <vt:lpstr>Scenario_Soil</vt:lpstr>
      <vt:lpstr>Scenario_Water-Sediment</vt:lpstr>
      <vt:lpstr>Scenario_General</vt:lpstr>
      <vt:lpstr>Kinetics_Confidence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Rich</dc:creator>
  <cp:lastModifiedBy>Flurin Jenny</cp:lastModifiedBy>
  <cp:revision>2</cp:revision>
  <dcterms:created xsi:type="dcterms:W3CDTF">2024-05-02T07:10:03Z</dcterms:created>
  <dcterms:modified xsi:type="dcterms:W3CDTF">2026-09-08T08:01:43Z</dcterms:modified>
</cp:coreProperties>
</file>